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work\0_ZYU_assessment_tool\ADS4\data\"/>
    </mc:Choice>
  </mc:AlternateContent>
  <xr:revisionPtr revIDLastSave="0" documentId="13_ncr:1_{EC453427-0C3E-49DB-9981-64419CC6B641}" xr6:coauthVersionLast="47" xr6:coauthVersionMax="47" xr10:uidLastSave="{00000000-0000-0000-0000-000000000000}"/>
  <bookViews>
    <workbookView xWindow="-110" yWindow="-110" windowWidth="29660" windowHeight="18620" activeTab="1" xr2:uid="{B02D34BA-A3EF-46EF-AC77-45ABA8DC269E}"/>
  </bookViews>
  <sheets>
    <sheet name="Courses" sheetId="2" r:id="rId1"/>
    <sheet name="Offerings" sheetId="3" r:id="rId2"/>
    <sheet name="learnerexam" sheetId="4" r:id="rId3"/>
    <sheet name="learners" sheetId="5" r:id="rId4"/>
    <sheet name="course mappings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2" i="3"/>
  <c r="F3" i="1"/>
  <c r="F4" i="1"/>
  <c r="F5" i="1"/>
  <c r="F6" i="1"/>
  <c r="F7" i="1"/>
  <c r="F8" i="1"/>
  <c r="F9" i="1"/>
  <c r="F10" i="1"/>
  <c r="F11" i="1"/>
  <c r="F12" i="1"/>
  <c r="F13" i="1"/>
  <c r="F14" i="1"/>
  <c r="F15" i="1"/>
  <c r="G15" i="1" s="1"/>
  <c r="F16" i="1"/>
  <c r="G16" i="1" s="1"/>
  <c r="F17" i="1"/>
  <c r="G17" i="1" s="1"/>
  <c r="F18" i="1"/>
  <c r="G18" i="1" s="1"/>
  <c r="F19" i="1"/>
  <c r="F20" i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" i="1"/>
  <c r="G9" i="1"/>
  <c r="G10" i="1"/>
  <c r="G11" i="1"/>
  <c r="G12" i="1"/>
  <c r="G13" i="1"/>
  <c r="G14" i="1"/>
  <c r="G2" i="1"/>
  <c r="G3" i="1"/>
  <c r="G4" i="1"/>
  <c r="G5" i="1"/>
  <c r="G6" i="1"/>
  <c r="G7" i="1"/>
  <c r="G8" i="1"/>
  <c r="G19" i="1"/>
  <c r="G20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" i="1"/>
</calcChain>
</file>

<file path=xl/sharedStrings.xml><?xml version="1.0" encoding="utf-8"?>
<sst xmlns="http://schemas.openxmlformats.org/spreadsheetml/2006/main" count="610" uniqueCount="145">
  <si>
    <t>5.100 ITCS Computer System Architecture</t>
  </si>
  <si>
    <t>5.110 ITPF Programming Fundamentals</t>
  </si>
  <si>
    <t>5.120 ITCT Concepts &amp; Tools</t>
  </si>
  <si>
    <t>5.130 ITWD Website Development</t>
  </si>
  <si>
    <t>5.210 ITUX UX and UI fundamental</t>
  </si>
  <si>
    <t>5.228 ITDT Intro to Data Concepts</t>
  </si>
  <si>
    <t>5.240 ITPM Agile Projects</t>
  </si>
  <si>
    <t>5.450 ITIS Information Systems</t>
  </si>
  <si>
    <t>6.100 ITAE Automation and Embedded Systems</t>
  </si>
  <si>
    <t>6.208 ITDB Database Management Systems</t>
  </si>
  <si>
    <t>6.218 ITDC Data Communications &amp; Networking</t>
  </si>
  <si>
    <t>6.238 ITHW Electronics and Internet of Things Technology</t>
  </si>
  <si>
    <t>6.240 ITMA Maths in IT</t>
  </si>
  <si>
    <t>6.318 ITPM Project Management</t>
  </si>
  <si>
    <t>6.348 ITSD Systems Analysis</t>
  </si>
  <si>
    <t>6.349 ITSD Systems Design</t>
  </si>
  <si>
    <t>6.358 ITPR User Experience &amp; User Interfaces</t>
  </si>
  <si>
    <t>6.398 ITKM Knowledge Management</t>
  </si>
  <si>
    <t>6.408 ITWD Adv. Internet and Web Page Development</t>
  </si>
  <si>
    <t>7.00x ITCP Capstone part 1 &amp; 2</t>
  </si>
  <si>
    <t>7.110 ITAI Machine Learning and Artificial Intelligence</t>
  </si>
  <si>
    <t>7.120 ITFM Mechatronics in IT</t>
  </si>
  <si>
    <t>7.240 ITDA Data Analytics</t>
  </si>
  <si>
    <t>7.358 ITWD Web Application Programming</t>
  </si>
  <si>
    <t>7.398 ITEC E-Business Strategies</t>
  </si>
  <si>
    <t>7.668 ITSY Cybersecurity</t>
  </si>
  <si>
    <t>Computer System Architecture</t>
  </si>
  <si>
    <t>Programming Fundamentals</t>
  </si>
  <si>
    <t>Concepts &amp; Tools</t>
  </si>
  <si>
    <t>Website Development</t>
  </si>
  <si>
    <t>UX and UI fundamental</t>
  </si>
  <si>
    <t>Intro to Data Concepts</t>
  </si>
  <si>
    <t>Agile Projects</t>
  </si>
  <si>
    <t>Information Systems</t>
  </si>
  <si>
    <t>Automation and Embedded Systems</t>
  </si>
  <si>
    <t>Database Management Systems</t>
  </si>
  <si>
    <t>Data Communications &amp; Networking</t>
  </si>
  <si>
    <t>Electronics and Internet of Things Technology</t>
  </si>
  <si>
    <t>Maths in IT</t>
  </si>
  <si>
    <t>Project Management</t>
  </si>
  <si>
    <t>Systems Analysis</t>
  </si>
  <si>
    <t>Systems Design</t>
  </si>
  <si>
    <t>User Experience &amp; User Interfaces</t>
  </si>
  <si>
    <t>Knowledge Management</t>
  </si>
  <si>
    <t>Adv. Internet and Web Page Development</t>
  </si>
  <si>
    <t>Capstone part 1 &amp; 2</t>
  </si>
  <si>
    <t>Machine Learning and Artificial Intelligence</t>
  </si>
  <si>
    <t>Mechatronics in IT</t>
  </si>
  <si>
    <t>Data Analytics</t>
  </si>
  <si>
    <t>Web Application Programming</t>
  </si>
  <si>
    <t>E-Business Strategies</t>
  </si>
  <si>
    <t>Cybersecurity</t>
  </si>
  <si>
    <t>Description</t>
  </si>
  <si>
    <t>Level</t>
  </si>
  <si>
    <t>Status</t>
  </si>
  <si>
    <t>active</t>
  </si>
  <si>
    <t>CourseCode</t>
  </si>
  <si>
    <t xml:space="preserve">ITCS5.100 </t>
  </si>
  <si>
    <t xml:space="preserve">ITPF5.110 </t>
  </si>
  <si>
    <t xml:space="preserve">ITCT5.120 </t>
  </si>
  <si>
    <t xml:space="preserve">ITWD5.130 </t>
  </si>
  <si>
    <t xml:space="preserve">ITUX5.210 </t>
  </si>
  <si>
    <t xml:space="preserve">ITDT5.228 </t>
  </si>
  <si>
    <t xml:space="preserve">ITPM5.240 </t>
  </si>
  <si>
    <t xml:space="preserve">ITIS5.450 </t>
  </si>
  <si>
    <t xml:space="preserve">ITAE6.100 </t>
  </si>
  <si>
    <t xml:space="preserve">ITDB6.208 </t>
  </si>
  <si>
    <t xml:space="preserve">ITDC6.218 </t>
  </si>
  <si>
    <t xml:space="preserve">ITHW6.238 </t>
  </si>
  <si>
    <t xml:space="preserve">ITMA6.240 </t>
  </si>
  <si>
    <t xml:space="preserve">ITPM6.318 </t>
  </si>
  <si>
    <t xml:space="preserve">ITSD6.348 </t>
  </si>
  <si>
    <t xml:space="preserve">ITSD6.349 </t>
  </si>
  <si>
    <t xml:space="preserve">ITPR6.358 </t>
  </si>
  <si>
    <t xml:space="preserve">ITKM6.398 </t>
  </si>
  <si>
    <t xml:space="preserve">ITWD6.408 </t>
  </si>
  <si>
    <t xml:space="preserve">ITCP7.00x </t>
  </si>
  <si>
    <t xml:space="preserve">ITAI7.110 </t>
  </si>
  <si>
    <t xml:space="preserve">ITFM7.120 </t>
  </si>
  <si>
    <t xml:space="preserve">ITDA7.240 </t>
  </si>
  <si>
    <t xml:space="preserve">ITWD7.358 </t>
  </si>
  <si>
    <t xml:space="preserve">ITEC7.398 </t>
  </si>
  <si>
    <t xml:space="preserve">ITSY7.668 </t>
  </si>
  <si>
    <t>ExamID</t>
  </si>
  <si>
    <t>Year</t>
  </si>
  <si>
    <t>Semester</t>
  </si>
  <si>
    <t>S1</t>
  </si>
  <si>
    <t>Password</t>
  </si>
  <si>
    <t>abcd1011</t>
  </si>
  <si>
    <t>abcd1001</t>
  </si>
  <si>
    <t>abcd1002</t>
  </si>
  <si>
    <t>abcd1003</t>
  </si>
  <si>
    <t>abcd1004</t>
  </si>
  <si>
    <t>abcd1005</t>
  </si>
  <si>
    <t>abcd1006</t>
  </si>
  <si>
    <t>abcd1007</t>
  </si>
  <si>
    <t>abcd1008</t>
  </si>
  <si>
    <t>abcd1009</t>
  </si>
  <si>
    <t>abcd1010</t>
  </si>
  <si>
    <t>abcd1012</t>
  </si>
  <si>
    <t>abcd1013</t>
  </si>
  <si>
    <t>abcd1014</t>
  </si>
  <si>
    <t>abcd1015</t>
  </si>
  <si>
    <t>abcd1016</t>
  </si>
  <si>
    <t>abcd1017</t>
  </si>
  <si>
    <t>abcd1018</t>
  </si>
  <si>
    <t>abcd1019</t>
  </si>
  <si>
    <t>abcd1020</t>
  </si>
  <si>
    <t>abcd1021</t>
  </si>
  <si>
    <t>abcd1022</t>
  </si>
  <si>
    <t>abcd1023</t>
  </si>
  <si>
    <t>abcd1024</t>
  </si>
  <si>
    <t>abcd1025</t>
  </si>
  <si>
    <t>abcd1026</t>
  </si>
  <si>
    <t>Coordinator</t>
  </si>
  <si>
    <t>OwnerID</t>
  </si>
  <si>
    <t>StudentID</t>
  </si>
  <si>
    <t>StartTime</t>
  </si>
  <si>
    <t>EndTime</t>
  </si>
  <si>
    <t>ready</t>
  </si>
  <si>
    <t>2026S1ITCS5.100</t>
  </si>
  <si>
    <t>2026S1ITPF5.110</t>
  </si>
  <si>
    <t>2026S1ITCT5.120</t>
  </si>
  <si>
    <t>2026S1ITWD5.130</t>
  </si>
  <si>
    <t>2026S1ITUX5.210</t>
  </si>
  <si>
    <t>2026S1ITDT5.228</t>
  </si>
  <si>
    <t>2026S1ITPM5.240</t>
  </si>
  <si>
    <t>2026S1ITIS5.450</t>
  </si>
  <si>
    <t>Grade</t>
  </si>
  <si>
    <t>StudentName</t>
  </si>
  <si>
    <t>Test Student A</t>
  </si>
  <si>
    <t>Test Student C</t>
  </si>
  <si>
    <t>Test Student D</t>
  </si>
  <si>
    <t>Test Student E</t>
  </si>
  <si>
    <t>inactive</t>
  </si>
  <si>
    <t>closed</t>
  </si>
  <si>
    <t>Duration</t>
  </si>
  <si>
    <t>2025S1ITCS5.100</t>
  </si>
  <si>
    <t>2025S1ITPF5.110</t>
  </si>
  <si>
    <t>2025S1ITCT5.120</t>
  </si>
  <si>
    <t>2025S1ITWD5.130</t>
  </si>
  <si>
    <t>2025S1ITUX5.210</t>
  </si>
  <si>
    <t>2025S1ITDT5.228</t>
  </si>
  <si>
    <t>2025S1ITPM5.240</t>
  </si>
  <si>
    <t>2025S1ITIS5.450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</si>
</sst>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0"/>
      <color theme="1"/>
      <name val="Arial Unicode MS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618A1-36CE-4DED-8319-809DBD80E270}">
  <dimension ref="A1:D27"/>
  <sheetViews>
    <sheetView workbookViewId="0">
      <selection activeCell="F31" sqref="F31"/>
    </sheetView>
  </sheetViews>
  <sheetFormatPr defaultRowHeight="14.5"/>
  <cols>
    <col min="1" max="1" width="10.90625" bestFit="1" customWidth="1"/>
    <col min="2" max="2" width="39.08984375" bestFit="1" customWidth="1"/>
    <col min="3" max="3" width="5" bestFit="1" customWidth="1"/>
    <col min="4" max="4" width="5.90625" bestFit="1" customWidth="1"/>
  </cols>
  <sheetData>
    <row r="1" spans="1:4">
      <c r="A1" t="s">
        <v>56</v>
      </c>
      <c r="B1" t="s">
        <v>52</v>
      </c>
      <c r="C1" t="s">
        <v>53</v>
      </c>
      <c r="D1" t="s">
        <v>54</v>
      </c>
    </row>
    <row r="2" spans="1:4">
      <c r="A2" t="s">
        <v>57</v>
      </c>
      <c r="B2" t="s">
        <v>26</v>
      </c>
      <c r="C2">
        <v>5</v>
      </c>
      <c r="D2" t="s">
        <v>55</v>
      </c>
    </row>
    <row r="3" spans="1:4">
      <c r="A3" t="s">
        <v>58</v>
      </c>
      <c r="B3" t="s">
        <v>27</v>
      </c>
      <c r="C3">
        <v>5</v>
      </c>
      <c r="D3" t="s">
        <v>55</v>
      </c>
    </row>
    <row r="4" spans="1:4">
      <c r="A4" t="s">
        <v>59</v>
      </c>
      <c r="B4" t="s">
        <v>28</v>
      </c>
      <c r="C4">
        <v>5</v>
      </c>
      <c r="D4" t="s">
        <v>55</v>
      </c>
    </row>
    <row r="5" spans="1:4">
      <c r="A5" t="s">
        <v>60</v>
      </c>
      <c r="B5" t="s">
        <v>29</v>
      </c>
      <c r="C5">
        <v>5</v>
      </c>
      <c r="D5" t="s">
        <v>55</v>
      </c>
    </row>
    <row r="6" spans="1:4">
      <c r="A6" t="s">
        <v>61</v>
      </c>
      <c r="B6" t="s">
        <v>30</v>
      </c>
      <c r="C6">
        <v>5</v>
      </c>
      <c r="D6" t="s">
        <v>55</v>
      </c>
    </row>
    <row r="7" spans="1:4">
      <c r="A7" t="s">
        <v>62</v>
      </c>
      <c r="B7" t="s">
        <v>31</v>
      </c>
      <c r="C7">
        <v>5</v>
      </c>
      <c r="D7" t="s">
        <v>55</v>
      </c>
    </row>
    <row r="8" spans="1:4">
      <c r="A8" t="s">
        <v>63</v>
      </c>
      <c r="B8" t="s">
        <v>32</v>
      </c>
      <c r="C8">
        <v>5</v>
      </c>
      <c r="D8" t="s">
        <v>55</v>
      </c>
    </row>
    <row r="9" spans="1:4">
      <c r="A9" t="s">
        <v>64</v>
      </c>
      <c r="B9" t="s">
        <v>33</v>
      </c>
      <c r="C9">
        <v>5</v>
      </c>
      <c r="D9" t="s">
        <v>55</v>
      </c>
    </row>
    <row r="10" spans="1:4">
      <c r="A10" t="s">
        <v>65</v>
      </c>
      <c r="B10" t="s">
        <v>34</v>
      </c>
      <c r="C10">
        <v>6</v>
      </c>
      <c r="D10" t="s">
        <v>55</v>
      </c>
    </row>
    <row r="11" spans="1:4">
      <c r="A11" t="s">
        <v>66</v>
      </c>
      <c r="B11" t="s">
        <v>35</v>
      </c>
      <c r="C11">
        <v>6</v>
      </c>
      <c r="D11" t="s">
        <v>55</v>
      </c>
    </row>
    <row r="12" spans="1:4">
      <c r="A12" t="s">
        <v>67</v>
      </c>
      <c r="B12" t="s">
        <v>36</v>
      </c>
      <c r="C12">
        <v>6</v>
      </c>
      <c r="D12" t="s">
        <v>55</v>
      </c>
    </row>
    <row r="13" spans="1:4">
      <c r="A13" t="s">
        <v>68</v>
      </c>
      <c r="B13" t="s">
        <v>37</v>
      </c>
      <c r="C13">
        <v>6</v>
      </c>
      <c r="D13" t="s">
        <v>55</v>
      </c>
    </row>
    <row r="14" spans="1:4">
      <c r="A14" t="s">
        <v>69</v>
      </c>
      <c r="B14" t="s">
        <v>38</v>
      </c>
      <c r="C14">
        <v>6</v>
      </c>
      <c r="D14" t="s">
        <v>55</v>
      </c>
    </row>
    <row r="15" spans="1:4">
      <c r="A15" t="s">
        <v>70</v>
      </c>
      <c r="B15" t="s">
        <v>39</v>
      </c>
      <c r="C15">
        <v>6</v>
      </c>
      <c r="D15" t="s">
        <v>55</v>
      </c>
    </row>
    <row r="16" spans="1:4">
      <c r="A16" t="s">
        <v>71</v>
      </c>
      <c r="B16" t="s">
        <v>40</v>
      </c>
      <c r="C16">
        <v>6</v>
      </c>
      <c r="D16" t="s">
        <v>55</v>
      </c>
    </row>
    <row r="17" spans="1:4">
      <c r="A17" t="s">
        <v>72</v>
      </c>
      <c r="B17" t="s">
        <v>41</v>
      </c>
      <c r="C17">
        <v>6</v>
      </c>
      <c r="D17" t="s">
        <v>55</v>
      </c>
    </row>
    <row r="18" spans="1:4">
      <c r="A18" t="s">
        <v>73</v>
      </c>
      <c r="B18" t="s">
        <v>42</v>
      </c>
      <c r="C18">
        <v>6</v>
      </c>
      <c r="D18" t="s">
        <v>55</v>
      </c>
    </row>
    <row r="19" spans="1:4">
      <c r="A19" t="s">
        <v>74</v>
      </c>
      <c r="B19" t="s">
        <v>43</v>
      </c>
      <c r="C19">
        <v>6</v>
      </c>
      <c r="D19" t="s">
        <v>55</v>
      </c>
    </row>
    <row r="20" spans="1:4">
      <c r="A20" t="s">
        <v>75</v>
      </c>
      <c r="B20" t="s">
        <v>44</v>
      </c>
      <c r="C20">
        <v>6</v>
      </c>
      <c r="D20" t="s">
        <v>55</v>
      </c>
    </row>
    <row r="21" spans="1:4">
      <c r="A21" t="s">
        <v>76</v>
      </c>
      <c r="B21" t="s">
        <v>45</v>
      </c>
      <c r="C21">
        <v>7</v>
      </c>
      <c r="D21" t="s">
        <v>55</v>
      </c>
    </row>
    <row r="22" spans="1:4">
      <c r="A22" t="s">
        <v>77</v>
      </c>
      <c r="B22" t="s">
        <v>46</v>
      </c>
      <c r="C22">
        <v>7</v>
      </c>
      <c r="D22" t="s">
        <v>55</v>
      </c>
    </row>
    <row r="23" spans="1:4">
      <c r="A23" t="s">
        <v>78</v>
      </c>
      <c r="B23" t="s">
        <v>47</v>
      </c>
      <c r="C23">
        <v>7</v>
      </c>
      <c r="D23" t="s">
        <v>55</v>
      </c>
    </row>
    <row r="24" spans="1:4">
      <c r="A24" t="s">
        <v>79</v>
      </c>
      <c r="B24" t="s">
        <v>48</v>
      </c>
      <c r="C24">
        <v>7</v>
      </c>
      <c r="D24" t="s">
        <v>55</v>
      </c>
    </row>
    <row r="25" spans="1:4">
      <c r="A25" t="s">
        <v>80</v>
      </c>
      <c r="B25" t="s">
        <v>49</v>
      </c>
      <c r="C25">
        <v>7</v>
      </c>
      <c r="D25" t="s">
        <v>55</v>
      </c>
    </row>
    <row r="26" spans="1:4">
      <c r="A26" t="s">
        <v>81</v>
      </c>
      <c r="B26" t="s">
        <v>50</v>
      </c>
      <c r="C26">
        <v>7</v>
      </c>
      <c r="D26" t="s">
        <v>55</v>
      </c>
    </row>
    <row r="27" spans="1:4">
      <c r="A27" t="s">
        <v>82</v>
      </c>
      <c r="B27" t="s">
        <v>51</v>
      </c>
      <c r="C27">
        <v>7</v>
      </c>
      <c r="D27" t="s">
        <v>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0567B-4E95-44BA-916E-47E40F894710}">
  <dimension ref="A1:I53"/>
  <sheetViews>
    <sheetView tabSelected="1" workbookViewId="0">
      <selection activeCell="S17" sqref="S17"/>
    </sheetView>
  </sheetViews>
  <sheetFormatPr defaultRowHeight="14.5"/>
  <cols>
    <col min="1" max="1" width="16" bestFit="1" customWidth="1"/>
    <col min="3" max="3" width="4.81640625" bestFit="1" customWidth="1"/>
    <col min="4" max="4" width="8.54296875" bestFit="1" customWidth="1"/>
    <col min="6" max="6" width="5.90625" bestFit="1" customWidth="1"/>
    <col min="7" max="7" width="10.90625" bestFit="1" customWidth="1"/>
  </cols>
  <sheetData>
    <row r="1" spans="1:9">
      <c r="A1" t="s">
        <v>83</v>
      </c>
      <c r="B1" t="s">
        <v>56</v>
      </c>
      <c r="C1" t="s">
        <v>84</v>
      </c>
      <c r="D1" t="s">
        <v>85</v>
      </c>
      <c r="E1" t="s">
        <v>87</v>
      </c>
      <c r="F1" t="s">
        <v>54</v>
      </c>
      <c r="G1" t="s">
        <v>114</v>
      </c>
      <c r="H1" t="s">
        <v>115</v>
      </c>
      <c r="I1" t="s">
        <v>136</v>
      </c>
    </row>
    <row r="2" spans="1:9">
      <c r="A2" t="str">
        <f>CONCATENATE(TRIM(C2),TRIM(D2),TRIM(B2))</f>
        <v>2026S1ITCS5.100</v>
      </c>
      <c r="B2" t="s">
        <v>57</v>
      </c>
      <c r="C2">
        <v>2026</v>
      </c>
      <c r="D2" t="s">
        <v>86</v>
      </c>
      <c r="E2" t="s">
        <v>89</v>
      </c>
      <c r="F2" t="s">
        <v>55</v>
      </c>
      <c r="G2">
        <v>0</v>
      </c>
      <c r="H2">
        <v>1</v>
      </c>
      <c r="I2">
        <v>90</v>
      </c>
    </row>
    <row r="3" spans="1:9">
      <c r="A3" t="str">
        <f t="shared" ref="A3:A53" si="0">CONCATENATE(TRIM(C3),TRIM(D3),TRIM(B3))</f>
        <v>2026S1ITPF5.110</v>
      </c>
      <c r="B3" t="s">
        <v>58</v>
      </c>
      <c r="C3">
        <v>2026</v>
      </c>
      <c r="D3" t="s">
        <v>86</v>
      </c>
      <c r="E3" t="s">
        <v>90</v>
      </c>
      <c r="F3" t="s">
        <v>55</v>
      </c>
      <c r="G3">
        <v>0</v>
      </c>
      <c r="H3">
        <v>1</v>
      </c>
      <c r="I3">
        <v>90</v>
      </c>
    </row>
    <row r="4" spans="1:9">
      <c r="A4" t="str">
        <f t="shared" si="0"/>
        <v>2026S1ITCT5.120</v>
      </c>
      <c r="B4" t="s">
        <v>59</v>
      </c>
      <c r="C4">
        <v>2026</v>
      </c>
      <c r="D4" t="s">
        <v>86</v>
      </c>
      <c r="E4" t="s">
        <v>91</v>
      </c>
      <c r="F4" t="s">
        <v>55</v>
      </c>
      <c r="G4">
        <v>0</v>
      </c>
      <c r="H4">
        <v>1</v>
      </c>
      <c r="I4">
        <v>90</v>
      </c>
    </row>
    <row r="5" spans="1:9">
      <c r="A5" t="str">
        <f t="shared" si="0"/>
        <v>2026S1ITWD5.130</v>
      </c>
      <c r="B5" t="s">
        <v>60</v>
      </c>
      <c r="C5">
        <v>2026</v>
      </c>
      <c r="D5" t="s">
        <v>86</v>
      </c>
      <c r="E5" t="s">
        <v>92</v>
      </c>
      <c r="F5" t="s">
        <v>55</v>
      </c>
      <c r="G5">
        <v>0</v>
      </c>
      <c r="H5">
        <v>1</v>
      </c>
      <c r="I5">
        <v>90</v>
      </c>
    </row>
    <row r="6" spans="1:9">
      <c r="A6" t="str">
        <f t="shared" si="0"/>
        <v>2026S1ITUX5.210</v>
      </c>
      <c r="B6" t="s">
        <v>61</v>
      </c>
      <c r="C6">
        <v>2026</v>
      </c>
      <c r="D6" t="s">
        <v>86</v>
      </c>
      <c r="E6" t="s">
        <v>93</v>
      </c>
      <c r="F6" t="s">
        <v>55</v>
      </c>
      <c r="G6">
        <v>0</v>
      </c>
      <c r="H6">
        <v>1</v>
      </c>
      <c r="I6">
        <v>90</v>
      </c>
    </row>
    <row r="7" spans="1:9">
      <c r="A7" t="str">
        <f t="shared" si="0"/>
        <v>2026S1ITDT5.228</v>
      </c>
      <c r="B7" t="s">
        <v>62</v>
      </c>
      <c r="C7">
        <v>2026</v>
      </c>
      <c r="D7" t="s">
        <v>86</v>
      </c>
      <c r="E7" t="s">
        <v>94</v>
      </c>
      <c r="F7" t="s">
        <v>55</v>
      </c>
      <c r="G7">
        <v>0</v>
      </c>
      <c r="H7">
        <v>1</v>
      </c>
      <c r="I7">
        <v>90</v>
      </c>
    </row>
    <row r="8" spans="1:9">
      <c r="A8" t="str">
        <f t="shared" si="0"/>
        <v>2026S1ITPM5.240</v>
      </c>
      <c r="B8" t="s">
        <v>63</v>
      </c>
      <c r="C8">
        <v>2026</v>
      </c>
      <c r="D8" t="s">
        <v>86</v>
      </c>
      <c r="E8" t="s">
        <v>95</v>
      </c>
      <c r="F8" t="s">
        <v>55</v>
      </c>
      <c r="G8">
        <v>0</v>
      </c>
      <c r="H8">
        <v>1</v>
      </c>
      <c r="I8">
        <v>90</v>
      </c>
    </row>
    <row r="9" spans="1:9">
      <c r="A9" t="str">
        <f t="shared" si="0"/>
        <v>2026S1ITIS5.450</v>
      </c>
      <c r="B9" t="s">
        <v>64</v>
      </c>
      <c r="C9">
        <v>2026</v>
      </c>
      <c r="D9" t="s">
        <v>86</v>
      </c>
      <c r="E9" t="s">
        <v>96</v>
      </c>
      <c r="F9" t="s">
        <v>55</v>
      </c>
      <c r="G9">
        <v>0</v>
      </c>
      <c r="H9">
        <v>1</v>
      </c>
      <c r="I9">
        <v>90</v>
      </c>
    </row>
    <row r="10" spans="1:9">
      <c r="A10" t="str">
        <f t="shared" si="0"/>
        <v>2026S1ITAE6.100</v>
      </c>
      <c r="B10" t="s">
        <v>65</v>
      </c>
      <c r="C10">
        <v>2026</v>
      </c>
      <c r="D10" t="s">
        <v>86</v>
      </c>
      <c r="E10" t="s">
        <v>97</v>
      </c>
      <c r="F10" t="s">
        <v>55</v>
      </c>
      <c r="G10">
        <v>0</v>
      </c>
      <c r="H10">
        <v>1</v>
      </c>
      <c r="I10">
        <v>90</v>
      </c>
    </row>
    <row r="11" spans="1:9">
      <c r="A11" t="str">
        <f t="shared" si="0"/>
        <v>2026S1ITDB6.208</v>
      </c>
      <c r="B11" t="s">
        <v>66</v>
      </c>
      <c r="C11">
        <v>2026</v>
      </c>
      <c r="D11" t="s">
        <v>86</v>
      </c>
      <c r="E11" t="s">
        <v>98</v>
      </c>
      <c r="F11" t="s">
        <v>55</v>
      </c>
      <c r="G11">
        <v>0</v>
      </c>
      <c r="H11">
        <v>1</v>
      </c>
      <c r="I11">
        <v>90</v>
      </c>
    </row>
    <row r="12" spans="1:9">
      <c r="A12" t="str">
        <f t="shared" si="0"/>
        <v>2026S1ITDC6.218</v>
      </c>
      <c r="B12" t="s">
        <v>67</v>
      </c>
      <c r="C12">
        <v>2026</v>
      </c>
      <c r="D12" t="s">
        <v>86</v>
      </c>
      <c r="E12" t="s">
        <v>88</v>
      </c>
      <c r="F12" t="s">
        <v>55</v>
      </c>
      <c r="G12">
        <v>0</v>
      </c>
      <c r="H12">
        <v>1</v>
      </c>
      <c r="I12">
        <v>90</v>
      </c>
    </row>
    <row r="13" spans="1:9">
      <c r="A13" t="str">
        <f t="shared" si="0"/>
        <v>2026S1ITHW6.238</v>
      </c>
      <c r="B13" t="s">
        <v>68</v>
      </c>
      <c r="C13">
        <v>2026</v>
      </c>
      <c r="D13" t="s">
        <v>86</v>
      </c>
      <c r="E13" t="s">
        <v>99</v>
      </c>
      <c r="F13" t="s">
        <v>55</v>
      </c>
      <c r="G13">
        <v>0</v>
      </c>
      <c r="H13">
        <v>1</v>
      </c>
      <c r="I13">
        <v>90</v>
      </c>
    </row>
    <row r="14" spans="1:9">
      <c r="A14" t="str">
        <f t="shared" si="0"/>
        <v>2026S1ITMA6.240</v>
      </c>
      <c r="B14" t="s">
        <v>69</v>
      </c>
      <c r="C14">
        <v>2026</v>
      </c>
      <c r="D14" t="s">
        <v>86</v>
      </c>
      <c r="E14" t="s">
        <v>100</v>
      </c>
      <c r="F14" t="s">
        <v>55</v>
      </c>
      <c r="G14">
        <v>0</v>
      </c>
      <c r="H14">
        <v>1</v>
      </c>
      <c r="I14">
        <v>90</v>
      </c>
    </row>
    <row r="15" spans="1:9">
      <c r="A15" t="str">
        <f t="shared" si="0"/>
        <v>2026S1ITPM6.318</v>
      </c>
      <c r="B15" t="s">
        <v>70</v>
      </c>
      <c r="C15">
        <v>2026</v>
      </c>
      <c r="D15" t="s">
        <v>86</v>
      </c>
      <c r="E15" t="s">
        <v>101</v>
      </c>
      <c r="F15" t="s">
        <v>55</v>
      </c>
      <c r="G15">
        <v>0</v>
      </c>
      <c r="H15">
        <v>1</v>
      </c>
      <c r="I15">
        <v>90</v>
      </c>
    </row>
    <row r="16" spans="1:9">
      <c r="A16" t="str">
        <f t="shared" si="0"/>
        <v>2026S1ITSD6.348</v>
      </c>
      <c r="B16" t="s">
        <v>71</v>
      </c>
      <c r="C16">
        <v>2026</v>
      </c>
      <c r="D16" t="s">
        <v>86</v>
      </c>
      <c r="E16" t="s">
        <v>102</v>
      </c>
      <c r="F16" t="s">
        <v>55</v>
      </c>
      <c r="G16">
        <v>0</v>
      </c>
      <c r="H16">
        <v>1</v>
      </c>
      <c r="I16">
        <v>90</v>
      </c>
    </row>
    <row r="17" spans="1:9">
      <c r="A17" t="str">
        <f t="shared" si="0"/>
        <v>2026S1ITSD6.349</v>
      </c>
      <c r="B17" t="s">
        <v>72</v>
      </c>
      <c r="C17">
        <v>2026</v>
      </c>
      <c r="D17" t="s">
        <v>86</v>
      </c>
      <c r="E17" t="s">
        <v>103</v>
      </c>
      <c r="F17" t="s">
        <v>55</v>
      </c>
      <c r="G17">
        <v>0</v>
      </c>
      <c r="H17">
        <v>1</v>
      </c>
      <c r="I17">
        <v>90</v>
      </c>
    </row>
    <row r="18" spans="1:9">
      <c r="A18" t="str">
        <f t="shared" si="0"/>
        <v>2026S1ITPR6.358</v>
      </c>
      <c r="B18" t="s">
        <v>73</v>
      </c>
      <c r="C18">
        <v>2026</v>
      </c>
      <c r="D18" t="s">
        <v>86</v>
      </c>
      <c r="E18" t="s">
        <v>104</v>
      </c>
      <c r="F18" t="s">
        <v>55</v>
      </c>
      <c r="G18">
        <v>0</v>
      </c>
      <c r="H18">
        <v>1</v>
      </c>
      <c r="I18">
        <v>90</v>
      </c>
    </row>
    <row r="19" spans="1:9">
      <c r="A19" t="str">
        <f t="shared" si="0"/>
        <v>2026S1ITKM6.398</v>
      </c>
      <c r="B19" t="s">
        <v>74</v>
      </c>
      <c r="C19">
        <v>2026</v>
      </c>
      <c r="D19" t="s">
        <v>86</v>
      </c>
      <c r="E19" t="s">
        <v>105</v>
      </c>
      <c r="F19" t="s">
        <v>55</v>
      </c>
      <c r="G19">
        <v>0</v>
      </c>
      <c r="H19">
        <v>1</v>
      </c>
      <c r="I19">
        <v>90</v>
      </c>
    </row>
    <row r="20" spans="1:9">
      <c r="A20" t="str">
        <f t="shared" si="0"/>
        <v>2026S1ITWD6.408</v>
      </c>
      <c r="B20" t="s">
        <v>75</v>
      </c>
      <c r="C20">
        <v>2026</v>
      </c>
      <c r="D20" t="s">
        <v>86</v>
      </c>
      <c r="E20" t="s">
        <v>106</v>
      </c>
      <c r="F20" t="s">
        <v>55</v>
      </c>
      <c r="G20">
        <v>0</v>
      </c>
      <c r="H20">
        <v>1</v>
      </c>
      <c r="I20">
        <v>90</v>
      </c>
    </row>
    <row r="21" spans="1:9">
      <c r="A21" t="str">
        <f t="shared" si="0"/>
        <v>2026S1ITCP7.00x</v>
      </c>
      <c r="B21" t="s">
        <v>76</v>
      </c>
      <c r="C21">
        <v>2026</v>
      </c>
      <c r="D21" t="s">
        <v>86</v>
      </c>
      <c r="E21" t="s">
        <v>107</v>
      </c>
      <c r="F21" t="s">
        <v>55</v>
      </c>
      <c r="G21">
        <v>0</v>
      </c>
      <c r="H21">
        <v>1</v>
      </c>
      <c r="I21">
        <v>90</v>
      </c>
    </row>
    <row r="22" spans="1:9">
      <c r="A22" t="str">
        <f t="shared" si="0"/>
        <v>2026S1ITAI7.110</v>
      </c>
      <c r="B22" t="s">
        <v>77</v>
      </c>
      <c r="C22">
        <v>2026</v>
      </c>
      <c r="D22" t="s">
        <v>86</v>
      </c>
      <c r="E22" t="s">
        <v>108</v>
      </c>
      <c r="F22" t="s">
        <v>55</v>
      </c>
      <c r="G22">
        <v>0</v>
      </c>
      <c r="H22">
        <v>1</v>
      </c>
      <c r="I22">
        <v>90</v>
      </c>
    </row>
    <row r="23" spans="1:9">
      <c r="A23" t="str">
        <f t="shared" si="0"/>
        <v>2026S1ITFM7.120</v>
      </c>
      <c r="B23" t="s">
        <v>78</v>
      </c>
      <c r="C23">
        <v>2026</v>
      </c>
      <c r="D23" t="s">
        <v>86</v>
      </c>
      <c r="E23" t="s">
        <v>109</v>
      </c>
      <c r="F23" t="s">
        <v>55</v>
      </c>
      <c r="G23">
        <v>0</v>
      </c>
      <c r="H23">
        <v>1</v>
      </c>
      <c r="I23">
        <v>90</v>
      </c>
    </row>
    <row r="24" spans="1:9">
      <c r="A24" t="str">
        <f t="shared" si="0"/>
        <v>2026S1ITDA7.240</v>
      </c>
      <c r="B24" t="s">
        <v>79</v>
      </c>
      <c r="C24">
        <v>2026</v>
      </c>
      <c r="D24" t="s">
        <v>86</v>
      </c>
      <c r="E24" t="s">
        <v>110</v>
      </c>
      <c r="F24" t="s">
        <v>55</v>
      </c>
      <c r="G24">
        <v>0</v>
      </c>
      <c r="H24">
        <v>1</v>
      </c>
      <c r="I24">
        <v>90</v>
      </c>
    </row>
    <row r="25" spans="1:9">
      <c r="A25" t="str">
        <f t="shared" si="0"/>
        <v>2026S1ITWD7.358</v>
      </c>
      <c r="B25" t="s">
        <v>80</v>
      </c>
      <c r="C25">
        <v>2026</v>
      </c>
      <c r="D25" t="s">
        <v>86</v>
      </c>
      <c r="E25" t="s">
        <v>111</v>
      </c>
      <c r="F25" t="s">
        <v>55</v>
      </c>
      <c r="G25">
        <v>0</v>
      </c>
      <c r="H25">
        <v>1</v>
      </c>
      <c r="I25">
        <v>90</v>
      </c>
    </row>
    <row r="26" spans="1:9">
      <c r="A26" t="str">
        <f t="shared" si="0"/>
        <v>2026S1ITEC7.398</v>
      </c>
      <c r="B26" t="s">
        <v>81</v>
      </c>
      <c r="C26">
        <v>2026</v>
      </c>
      <c r="D26" t="s">
        <v>86</v>
      </c>
      <c r="E26" t="s">
        <v>112</v>
      </c>
      <c r="F26" t="s">
        <v>55</v>
      </c>
      <c r="G26">
        <v>0</v>
      </c>
      <c r="H26">
        <v>1</v>
      </c>
      <c r="I26">
        <v>90</v>
      </c>
    </row>
    <row r="27" spans="1:9">
      <c r="A27" t="str">
        <f t="shared" si="0"/>
        <v>2026S1ITSY7.668</v>
      </c>
      <c r="B27" t="s">
        <v>82</v>
      </c>
      <c r="C27">
        <v>2026</v>
      </c>
      <c r="D27" t="s">
        <v>86</v>
      </c>
      <c r="E27" t="s">
        <v>113</v>
      </c>
      <c r="F27" t="s">
        <v>55</v>
      </c>
      <c r="G27">
        <v>0</v>
      </c>
      <c r="H27">
        <v>1</v>
      </c>
      <c r="I27">
        <v>90</v>
      </c>
    </row>
    <row r="28" spans="1:9">
      <c r="A28" t="str">
        <f t="shared" si="0"/>
        <v>2025S1ITCS5.100</v>
      </c>
      <c r="B28" t="s">
        <v>57</v>
      </c>
      <c r="C28">
        <v>2025</v>
      </c>
      <c r="D28" t="s">
        <v>86</v>
      </c>
      <c r="E28" t="s">
        <v>89</v>
      </c>
      <c r="F28" t="s">
        <v>55</v>
      </c>
      <c r="G28">
        <v>0</v>
      </c>
      <c r="H28">
        <v>1</v>
      </c>
      <c r="I28">
        <v>90</v>
      </c>
    </row>
    <row r="29" spans="1:9">
      <c r="A29" t="str">
        <f t="shared" si="0"/>
        <v>2025S1ITPF5.110</v>
      </c>
      <c r="B29" t="s">
        <v>58</v>
      </c>
      <c r="C29">
        <v>2025</v>
      </c>
      <c r="D29" t="s">
        <v>86</v>
      </c>
      <c r="E29" t="s">
        <v>90</v>
      </c>
      <c r="F29" t="s">
        <v>55</v>
      </c>
      <c r="G29">
        <v>0</v>
      </c>
      <c r="H29">
        <v>1</v>
      </c>
      <c r="I29">
        <v>90</v>
      </c>
    </row>
    <row r="30" spans="1:9">
      <c r="A30" t="str">
        <f t="shared" si="0"/>
        <v>2025S1ITCT5.120</v>
      </c>
      <c r="B30" t="s">
        <v>59</v>
      </c>
      <c r="C30">
        <v>2025</v>
      </c>
      <c r="D30" t="s">
        <v>86</v>
      </c>
      <c r="E30" t="s">
        <v>91</v>
      </c>
      <c r="F30" t="s">
        <v>55</v>
      </c>
      <c r="G30">
        <v>0</v>
      </c>
      <c r="H30">
        <v>1</v>
      </c>
      <c r="I30">
        <v>90</v>
      </c>
    </row>
    <row r="31" spans="1:9">
      <c r="A31" t="str">
        <f t="shared" si="0"/>
        <v>2025S1ITWD5.130</v>
      </c>
      <c r="B31" t="s">
        <v>60</v>
      </c>
      <c r="C31">
        <v>2025</v>
      </c>
      <c r="D31" t="s">
        <v>86</v>
      </c>
      <c r="E31" t="s">
        <v>92</v>
      </c>
      <c r="F31" t="s">
        <v>55</v>
      </c>
      <c r="G31">
        <v>0</v>
      </c>
      <c r="H31">
        <v>1</v>
      </c>
      <c r="I31">
        <v>90</v>
      </c>
    </row>
    <row r="32" spans="1:9">
      <c r="A32" t="str">
        <f t="shared" si="0"/>
        <v>2025S1ITUX5.210</v>
      </c>
      <c r="B32" t="s">
        <v>61</v>
      </c>
      <c r="C32">
        <v>2025</v>
      </c>
      <c r="D32" t="s">
        <v>86</v>
      </c>
      <c r="E32" t="s">
        <v>93</v>
      </c>
      <c r="F32" t="s">
        <v>55</v>
      </c>
      <c r="G32">
        <v>0</v>
      </c>
      <c r="H32">
        <v>1</v>
      </c>
      <c r="I32">
        <v>90</v>
      </c>
    </row>
    <row r="33" spans="1:9">
      <c r="A33" t="str">
        <f t="shared" si="0"/>
        <v>2025S1ITDT5.228</v>
      </c>
      <c r="B33" t="s">
        <v>62</v>
      </c>
      <c r="C33">
        <v>2025</v>
      </c>
      <c r="D33" t="s">
        <v>86</v>
      </c>
      <c r="E33" t="s">
        <v>94</v>
      </c>
      <c r="F33" t="s">
        <v>55</v>
      </c>
      <c r="G33">
        <v>0</v>
      </c>
      <c r="H33">
        <v>1</v>
      </c>
      <c r="I33">
        <v>90</v>
      </c>
    </row>
    <row r="34" spans="1:9">
      <c r="A34" t="str">
        <f t="shared" si="0"/>
        <v>2025S1ITPM5.240</v>
      </c>
      <c r="B34" t="s">
        <v>63</v>
      </c>
      <c r="C34">
        <v>2025</v>
      </c>
      <c r="D34" t="s">
        <v>86</v>
      </c>
      <c r="E34" t="s">
        <v>95</v>
      </c>
      <c r="F34" t="s">
        <v>55</v>
      </c>
      <c r="G34">
        <v>0</v>
      </c>
      <c r="H34">
        <v>1</v>
      </c>
      <c r="I34">
        <v>90</v>
      </c>
    </row>
    <row r="35" spans="1:9">
      <c r="A35" t="str">
        <f t="shared" si="0"/>
        <v>2025S1ITIS5.450</v>
      </c>
      <c r="B35" t="s">
        <v>64</v>
      </c>
      <c r="C35">
        <v>2025</v>
      </c>
      <c r="D35" t="s">
        <v>86</v>
      </c>
      <c r="E35" t="s">
        <v>96</v>
      </c>
      <c r="F35" t="s">
        <v>55</v>
      </c>
      <c r="G35">
        <v>0</v>
      </c>
      <c r="H35">
        <v>1</v>
      </c>
      <c r="I35">
        <v>90</v>
      </c>
    </row>
    <row r="36" spans="1:9">
      <c r="A36" t="str">
        <f t="shared" si="0"/>
        <v>2025S1ITAE6.100</v>
      </c>
      <c r="B36" t="s">
        <v>65</v>
      </c>
      <c r="C36">
        <v>2025</v>
      </c>
      <c r="D36" t="s">
        <v>86</v>
      </c>
      <c r="E36" t="s">
        <v>97</v>
      </c>
      <c r="F36" t="s">
        <v>55</v>
      </c>
      <c r="G36">
        <v>0</v>
      </c>
      <c r="H36">
        <v>1</v>
      </c>
      <c r="I36">
        <v>90</v>
      </c>
    </row>
    <row r="37" spans="1:9">
      <c r="A37" t="str">
        <f t="shared" si="0"/>
        <v>2025S1ITDB6.208</v>
      </c>
      <c r="B37" t="s">
        <v>66</v>
      </c>
      <c r="C37">
        <v>2025</v>
      </c>
      <c r="D37" t="s">
        <v>86</v>
      </c>
      <c r="E37" t="s">
        <v>98</v>
      </c>
      <c r="F37" t="s">
        <v>55</v>
      </c>
      <c r="G37">
        <v>0</v>
      </c>
      <c r="H37">
        <v>1</v>
      </c>
      <c r="I37">
        <v>90</v>
      </c>
    </row>
    <row r="38" spans="1:9">
      <c r="A38" t="str">
        <f t="shared" si="0"/>
        <v>2025S1ITDC6.218</v>
      </c>
      <c r="B38" t="s">
        <v>67</v>
      </c>
      <c r="C38">
        <v>2025</v>
      </c>
      <c r="D38" t="s">
        <v>86</v>
      </c>
      <c r="E38" t="s">
        <v>88</v>
      </c>
      <c r="F38" t="s">
        <v>55</v>
      </c>
      <c r="G38">
        <v>0</v>
      </c>
      <c r="H38">
        <v>1</v>
      </c>
      <c r="I38">
        <v>90</v>
      </c>
    </row>
    <row r="39" spans="1:9">
      <c r="A39" t="str">
        <f t="shared" si="0"/>
        <v>2025S1ITHW6.238</v>
      </c>
      <c r="B39" t="s">
        <v>68</v>
      </c>
      <c r="C39">
        <v>2025</v>
      </c>
      <c r="D39" t="s">
        <v>86</v>
      </c>
      <c r="E39" t="s">
        <v>99</v>
      </c>
      <c r="F39" t="s">
        <v>55</v>
      </c>
      <c r="G39">
        <v>0</v>
      </c>
      <c r="H39">
        <v>1</v>
      </c>
      <c r="I39">
        <v>90</v>
      </c>
    </row>
    <row r="40" spans="1:9">
      <c r="A40" t="str">
        <f t="shared" si="0"/>
        <v>2025S1ITMA6.240</v>
      </c>
      <c r="B40" t="s">
        <v>69</v>
      </c>
      <c r="C40">
        <v>2025</v>
      </c>
      <c r="D40" t="s">
        <v>86</v>
      </c>
      <c r="E40" t="s">
        <v>100</v>
      </c>
      <c r="F40" t="s">
        <v>55</v>
      </c>
      <c r="G40">
        <v>0</v>
      </c>
      <c r="H40">
        <v>1</v>
      </c>
      <c r="I40">
        <v>90</v>
      </c>
    </row>
    <row r="41" spans="1:9">
      <c r="A41" t="str">
        <f t="shared" si="0"/>
        <v>2025S1ITPM6.318</v>
      </c>
      <c r="B41" t="s">
        <v>70</v>
      </c>
      <c r="C41">
        <v>2025</v>
      </c>
      <c r="D41" t="s">
        <v>86</v>
      </c>
      <c r="E41" t="s">
        <v>101</v>
      </c>
      <c r="F41" t="s">
        <v>55</v>
      </c>
      <c r="G41">
        <v>0</v>
      </c>
      <c r="H41">
        <v>1</v>
      </c>
      <c r="I41">
        <v>90</v>
      </c>
    </row>
    <row r="42" spans="1:9">
      <c r="A42" t="str">
        <f t="shared" si="0"/>
        <v>2025S1ITSD6.348</v>
      </c>
      <c r="B42" t="s">
        <v>71</v>
      </c>
      <c r="C42">
        <v>2025</v>
      </c>
      <c r="D42" t="s">
        <v>86</v>
      </c>
      <c r="E42" t="s">
        <v>102</v>
      </c>
      <c r="F42" t="s">
        <v>55</v>
      </c>
      <c r="G42">
        <v>0</v>
      </c>
      <c r="H42">
        <v>1</v>
      </c>
      <c r="I42">
        <v>90</v>
      </c>
    </row>
    <row r="43" spans="1:9">
      <c r="A43" t="str">
        <f t="shared" si="0"/>
        <v>2025S1ITSD6.349</v>
      </c>
      <c r="B43" t="s">
        <v>72</v>
      </c>
      <c r="C43">
        <v>2025</v>
      </c>
      <c r="D43" t="s">
        <v>86</v>
      </c>
      <c r="E43" t="s">
        <v>103</v>
      </c>
      <c r="F43" t="s">
        <v>55</v>
      </c>
      <c r="G43">
        <v>0</v>
      </c>
      <c r="H43">
        <v>1</v>
      </c>
      <c r="I43">
        <v>90</v>
      </c>
    </row>
    <row r="44" spans="1:9">
      <c r="A44" t="str">
        <f t="shared" si="0"/>
        <v>2025S1ITPR6.358</v>
      </c>
      <c r="B44" t="s">
        <v>73</v>
      </c>
      <c r="C44">
        <v>2025</v>
      </c>
      <c r="D44" t="s">
        <v>86</v>
      </c>
      <c r="E44" t="s">
        <v>104</v>
      </c>
      <c r="F44" t="s">
        <v>55</v>
      </c>
      <c r="G44">
        <v>0</v>
      </c>
      <c r="H44">
        <v>1</v>
      </c>
      <c r="I44">
        <v>90</v>
      </c>
    </row>
    <row r="45" spans="1:9">
      <c r="A45" t="str">
        <f t="shared" si="0"/>
        <v>2025S1ITKM6.398</v>
      </c>
      <c r="B45" t="s">
        <v>74</v>
      </c>
      <c r="C45">
        <v>2025</v>
      </c>
      <c r="D45" t="s">
        <v>86</v>
      </c>
      <c r="E45" t="s">
        <v>105</v>
      </c>
      <c r="F45" t="s">
        <v>55</v>
      </c>
      <c r="G45">
        <v>0</v>
      </c>
      <c r="H45">
        <v>1</v>
      </c>
      <c r="I45">
        <v>90</v>
      </c>
    </row>
    <row r="46" spans="1:9">
      <c r="A46" t="str">
        <f t="shared" si="0"/>
        <v>2025S1ITWD6.408</v>
      </c>
      <c r="B46" t="s">
        <v>75</v>
      </c>
      <c r="C46">
        <v>2025</v>
      </c>
      <c r="D46" t="s">
        <v>86</v>
      </c>
      <c r="E46" t="s">
        <v>106</v>
      </c>
      <c r="F46" t="s">
        <v>55</v>
      </c>
      <c r="G46">
        <v>0</v>
      </c>
      <c r="H46">
        <v>1</v>
      </c>
      <c r="I46">
        <v>90</v>
      </c>
    </row>
    <row r="47" spans="1:9">
      <c r="A47" t="str">
        <f t="shared" si="0"/>
        <v>2025S1ITCP7.00x</v>
      </c>
      <c r="B47" t="s">
        <v>76</v>
      </c>
      <c r="C47">
        <v>2025</v>
      </c>
      <c r="D47" t="s">
        <v>86</v>
      </c>
      <c r="E47" t="s">
        <v>107</v>
      </c>
      <c r="F47" t="s">
        <v>55</v>
      </c>
      <c r="G47">
        <v>0</v>
      </c>
      <c r="H47">
        <v>1</v>
      </c>
      <c r="I47">
        <v>90</v>
      </c>
    </row>
    <row r="48" spans="1:9">
      <c r="A48" t="str">
        <f t="shared" si="0"/>
        <v>2025S1ITAI7.110</v>
      </c>
      <c r="B48" t="s">
        <v>77</v>
      </c>
      <c r="C48">
        <v>2025</v>
      </c>
      <c r="D48" t="s">
        <v>86</v>
      </c>
      <c r="E48" t="s">
        <v>108</v>
      </c>
      <c r="F48" t="s">
        <v>55</v>
      </c>
      <c r="G48">
        <v>0</v>
      </c>
      <c r="H48">
        <v>1</v>
      </c>
      <c r="I48">
        <v>90</v>
      </c>
    </row>
    <row r="49" spans="1:9">
      <c r="A49" t="str">
        <f t="shared" si="0"/>
        <v>2025S1ITFM7.120</v>
      </c>
      <c r="B49" t="s">
        <v>78</v>
      </c>
      <c r="C49">
        <v>2025</v>
      </c>
      <c r="D49" t="s">
        <v>86</v>
      </c>
      <c r="E49" t="s">
        <v>109</v>
      </c>
      <c r="F49" t="s">
        <v>55</v>
      </c>
      <c r="G49">
        <v>0</v>
      </c>
      <c r="H49">
        <v>1</v>
      </c>
      <c r="I49">
        <v>90</v>
      </c>
    </row>
    <row r="50" spans="1:9">
      <c r="A50" t="str">
        <f t="shared" si="0"/>
        <v>2025S1ITDA7.240</v>
      </c>
      <c r="B50" t="s">
        <v>79</v>
      </c>
      <c r="C50">
        <v>2025</v>
      </c>
      <c r="D50" t="s">
        <v>86</v>
      </c>
      <c r="E50" t="s">
        <v>110</v>
      </c>
      <c r="F50" t="s">
        <v>55</v>
      </c>
      <c r="G50">
        <v>0</v>
      </c>
      <c r="H50">
        <v>1</v>
      </c>
      <c r="I50">
        <v>90</v>
      </c>
    </row>
    <row r="51" spans="1:9">
      <c r="A51" t="str">
        <f t="shared" si="0"/>
        <v>2025S1ITWD7.358</v>
      </c>
      <c r="B51" t="s">
        <v>80</v>
      </c>
      <c r="C51">
        <v>2025</v>
      </c>
      <c r="D51" t="s">
        <v>86</v>
      </c>
      <c r="E51" t="s">
        <v>111</v>
      </c>
      <c r="F51" t="s">
        <v>55</v>
      </c>
      <c r="G51">
        <v>0</v>
      </c>
      <c r="H51">
        <v>1</v>
      </c>
      <c r="I51">
        <v>90</v>
      </c>
    </row>
    <row r="52" spans="1:9">
      <c r="A52" t="str">
        <f t="shared" si="0"/>
        <v>2025S1ITEC7.398</v>
      </c>
      <c r="B52" t="s">
        <v>81</v>
      </c>
      <c r="C52">
        <v>2025</v>
      </c>
      <c r="D52" t="s">
        <v>86</v>
      </c>
      <c r="E52" t="s">
        <v>112</v>
      </c>
      <c r="F52" t="s">
        <v>55</v>
      </c>
      <c r="G52">
        <v>0</v>
      </c>
      <c r="H52">
        <v>1</v>
      </c>
      <c r="I52">
        <v>90</v>
      </c>
    </row>
    <row r="53" spans="1:9">
      <c r="A53" t="str">
        <f t="shared" si="0"/>
        <v>2025S1ITSY7.668</v>
      </c>
      <c r="B53" t="s">
        <v>82</v>
      </c>
      <c r="C53">
        <v>2025</v>
      </c>
      <c r="D53" t="s">
        <v>86</v>
      </c>
      <c r="E53" t="s">
        <v>113</v>
      </c>
      <c r="F53" t="s">
        <v>55</v>
      </c>
      <c r="G53">
        <v>0</v>
      </c>
      <c r="H53">
        <v>1</v>
      </c>
      <c r="I53">
        <v>90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2AD33-448F-4811-A2D6-D06E799C3A1D}">
  <dimension ref="A1:F97"/>
  <sheetViews>
    <sheetView workbookViewId="0">
      <selection activeCell="I95" sqref="I95"/>
    </sheetView>
  </sheetViews>
  <sheetFormatPr defaultRowHeight="14.5"/>
  <cols>
    <col min="2" max="2" width="16" bestFit="1" customWidth="1"/>
    <col min="3" max="3" width="8.81640625" bestFit="1" customWidth="1"/>
  </cols>
  <sheetData>
    <row r="1" spans="1:6">
      <c r="A1" t="s">
        <v>116</v>
      </c>
      <c r="B1" t="s">
        <v>83</v>
      </c>
      <c r="C1" t="s">
        <v>117</v>
      </c>
      <c r="D1" t="s">
        <v>118</v>
      </c>
      <c r="E1" t="s">
        <v>54</v>
      </c>
      <c r="F1" t="s">
        <v>128</v>
      </c>
    </row>
    <row r="2" spans="1:6">
      <c r="A2">
        <v>20011111</v>
      </c>
      <c r="B2" t="s">
        <v>120</v>
      </c>
      <c r="C2" s="2"/>
      <c r="E2" t="s">
        <v>119</v>
      </c>
      <c r="F2">
        <v>0</v>
      </c>
    </row>
    <row r="3" spans="1:6">
      <c r="A3">
        <v>20011111</v>
      </c>
      <c r="B3" t="s">
        <v>121</v>
      </c>
      <c r="E3" t="s">
        <v>55</v>
      </c>
      <c r="F3">
        <v>0</v>
      </c>
    </row>
    <row r="4" spans="1:6">
      <c r="A4">
        <v>20011111</v>
      </c>
      <c r="B4" t="s">
        <v>122</v>
      </c>
      <c r="E4" t="s">
        <v>119</v>
      </c>
      <c r="F4">
        <v>0</v>
      </c>
    </row>
    <row r="5" spans="1:6">
      <c r="A5">
        <v>20011111</v>
      </c>
      <c r="B5" t="s">
        <v>123</v>
      </c>
      <c r="E5" t="s">
        <v>119</v>
      </c>
      <c r="F5">
        <v>0</v>
      </c>
    </row>
    <row r="6" spans="1:6">
      <c r="A6">
        <v>20011111</v>
      </c>
      <c r="B6" t="s">
        <v>124</v>
      </c>
      <c r="E6" t="s">
        <v>135</v>
      </c>
      <c r="F6">
        <v>0</v>
      </c>
    </row>
    <row r="7" spans="1:6">
      <c r="A7">
        <v>20011111</v>
      </c>
      <c r="B7" t="s">
        <v>125</v>
      </c>
      <c r="E7" t="s">
        <v>119</v>
      </c>
      <c r="F7">
        <v>0</v>
      </c>
    </row>
    <row r="8" spans="1:6">
      <c r="A8">
        <v>20011111</v>
      </c>
      <c r="B8" t="s">
        <v>126</v>
      </c>
      <c r="E8" t="s">
        <v>119</v>
      </c>
      <c r="F8">
        <v>0</v>
      </c>
    </row>
    <row r="9" spans="1:6">
      <c r="A9">
        <v>20011111</v>
      </c>
      <c r="B9" t="s">
        <v>127</v>
      </c>
      <c r="E9" t="s">
        <v>119</v>
      </c>
      <c r="F9">
        <v>0</v>
      </c>
    </row>
    <row r="10" spans="1:6">
      <c r="A10">
        <v>20012222</v>
      </c>
      <c r="B10" t="s">
        <v>120</v>
      </c>
      <c r="C10" s="2"/>
      <c r="E10" t="s">
        <v>55</v>
      </c>
      <c r="F10">
        <v>0</v>
      </c>
    </row>
    <row r="11" spans="1:6">
      <c r="A11">
        <v>20012222</v>
      </c>
      <c r="B11" t="s">
        <v>121</v>
      </c>
      <c r="E11" t="s">
        <v>135</v>
      </c>
      <c r="F11">
        <v>0</v>
      </c>
    </row>
    <row r="12" spans="1:6">
      <c r="A12">
        <v>20012222</v>
      </c>
      <c r="B12" t="s">
        <v>122</v>
      </c>
      <c r="E12" t="s">
        <v>119</v>
      </c>
      <c r="F12">
        <v>0</v>
      </c>
    </row>
    <row r="13" spans="1:6">
      <c r="A13">
        <v>20012222</v>
      </c>
      <c r="B13" t="s">
        <v>123</v>
      </c>
      <c r="E13" t="s">
        <v>119</v>
      </c>
      <c r="F13">
        <v>0</v>
      </c>
    </row>
    <row r="14" spans="1:6">
      <c r="A14">
        <v>20012222</v>
      </c>
      <c r="B14" t="s">
        <v>124</v>
      </c>
      <c r="E14" t="s">
        <v>119</v>
      </c>
      <c r="F14">
        <v>0</v>
      </c>
    </row>
    <row r="15" spans="1:6">
      <c r="A15">
        <v>20012222</v>
      </c>
      <c r="B15" t="s">
        <v>125</v>
      </c>
      <c r="E15" t="s">
        <v>119</v>
      </c>
      <c r="F15">
        <v>0</v>
      </c>
    </row>
    <row r="16" spans="1:6">
      <c r="A16">
        <v>20012222</v>
      </c>
      <c r="B16" t="s">
        <v>126</v>
      </c>
      <c r="E16" t="s">
        <v>119</v>
      </c>
      <c r="F16">
        <v>0</v>
      </c>
    </row>
    <row r="17" spans="1:6">
      <c r="A17">
        <v>20012222</v>
      </c>
      <c r="B17" t="s">
        <v>127</v>
      </c>
      <c r="E17" t="s">
        <v>119</v>
      </c>
      <c r="F17">
        <v>0</v>
      </c>
    </row>
    <row r="18" spans="1:6">
      <c r="A18">
        <v>20013333</v>
      </c>
      <c r="B18" t="s">
        <v>120</v>
      </c>
      <c r="C18" s="2"/>
      <c r="E18" t="s">
        <v>55</v>
      </c>
      <c r="F18">
        <v>0</v>
      </c>
    </row>
    <row r="19" spans="1:6">
      <c r="A19">
        <v>20013333</v>
      </c>
      <c r="B19" t="s">
        <v>121</v>
      </c>
      <c r="E19" t="s">
        <v>119</v>
      </c>
      <c r="F19">
        <v>0</v>
      </c>
    </row>
    <row r="20" spans="1:6">
      <c r="A20">
        <v>20013333</v>
      </c>
      <c r="B20" t="s">
        <v>122</v>
      </c>
      <c r="E20" t="s">
        <v>135</v>
      </c>
      <c r="F20">
        <v>0</v>
      </c>
    </row>
    <row r="21" spans="1:6">
      <c r="A21">
        <v>20013333</v>
      </c>
      <c r="B21" t="s">
        <v>123</v>
      </c>
      <c r="E21" t="s">
        <v>119</v>
      </c>
      <c r="F21">
        <v>0</v>
      </c>
    </row>
    <row r="22" spans="1:6">
      <c r="A22">
        <v>20013333</v>
      </c>
      <c r="B22" t="s">
        <v>124</v>
      </c>
      <c r="E22" t="s">
        <v>119</v>
      </c>
      <c r="F22">
        <v>0</v>
      </c>
    </row>
    <row r="23" spans="1:6">
      <c r="A23">
        <v>20013333</v>
      </c>
      <c r="B23" t="s">
        <v>125</v>
      </c>
      <c r="E23" t="s">
        <v>119</v>
      </c>
      <c r="F23">
        <v>0</v>
      </c>
    </row>
    <row r="24" spans="1:6">
      <c r="A24">
        <v>20013333</v>
      </c>
      <c r="B24" t="s">
        <v>126</v>
      </c>
      <c r="E24" t="s">
        <v>119</v>
      </c>
      <c r="F24">
        <v>0</v>
      </c>
    </row>
    <row r="25" spans="1:6">
      <c r="A25">
        <v>20013333</v>
      </c>
      <c r="B25" t="s">
        <v>127</v>
      </c>
      <c r="E25" t="s">
        <v>119</v>
      </c>
      <c r="F25">
        <v>0</v>
      </c>
    </row>
    <row r="26" spans="1:6">
      <c r="A26">
        <v>20014444</v>
      </c>
      <c r="B26" t="s">
        <v>120</v>
      </c>
      <c r="C26" s="2"/>
      <c r="E26" t="s">
        <v>55</v>
      </c>
      <c r="F26">
        <v>0</v>
      </c>
    </row>
    <row r="27" spans="1:6">
      <c r="A27">
        <v>20014444</v>
      </c>
      <c r="B27" t="s">
        <v>121</v>
      </c>
      <c r="E27" t="s">
        <v>135</v>
      </c>
      <c r="F27">
        <v>0</v>
      </c>
    </row>
    <row r="28" spans="1:6">
      <c r="A28">
        <v>20014444</v>
      </c>
      <c r="B28" t="s">
        <v>122</v>
      </c>
      <c r="E28" t="s">
        <v>119</v>
      </c>
      <c r="F28">
        <v>0</v>
      </c>
    </row>
    <row r="29" spans="1:6">
      <c r="A29">
        <v>20014444</v>
      </c>
      <c r="B29" t="s">
        <v>123</v>
      </c>
      <c r="E29" t="s">
        <v>119</v>
      </c>
      <c r="F29">
        <v>0</v>
      </c>
    </row>
    <row r="30" spans="1:6">
      <c r="A30">
        <v>20014444</v>
      </c>
      <c r="B30" t="s">
        <v>124</v>
      </c>
      <c r="E30" t="s">
        <v>119</v>
      </c>
      <c r="F30">
        <v>0</v>
      </c>
    </row>
    <row r="31" spans="1:6">
      <c r="A31">
        <v>20014444</v>
      </c>
      <c r="B31" t="s">
        <v>125</v>
      </c>
      <c r="E31" t="s">
        <v>119</v>
      </c>
      <c r="F31">
        <v>0</v>
      </c>
    </row>
    <row r="32" spans="1:6">
      <c r="A32">
        <v>20014444</v>
      </c>
      <c r="B32" t="s">
        <v>126</v>
      </c>
      <c r="E32" t="s">
        <v>119</v>
      </c>
      <c r="F32">
        <v>0</v>
      </c>
    </row>
    <row r="33" spans="1:6">
      <c r="A33">
        <v>20014444</v>
      </c>
      <c r="B33" t="s">
        <v>127</v>
      </c>
      <c r="E33" t="s">
        <v>119</v>
      </c>
      <c r="F33">
        <v>0</v>
      </c>
    </row>
    <row r="34" spans="1:6">
      <c r="A34">
        <v>20015555</v>
      </c>
      <c r="B34" t="s">
        <v>120</v>
      </c>
      <c r="C34" s="2"/>
      <c r="E34" t="s">
        <v>119</v>
      </c>
      <c r="F34">
        <v>0</v>
      </c>
    </row>
    <row r="35" spans="1:6">
      <c r="A35">
        <v>20015555</v>
      </c>
      <c r="B35" t="s">
        <v>121</v>
      </c>
      <c r="E35" t="s">
        <v>119</v>
      </c>
      <c r="F35">
        <v>0</v>
      </c>
    </row>
    <row r="36" spans="1:6">
      <c r="A36">
        <v>20015555</v>
      </c>
      <c r="B36" t="s">
        <v>122</v>
      </c>
      <c r="E36" t="s">
        <v>119</v>
      </c>
      <c r="F36">
        <v>0</v>
      </c>
    </row>
    <row r="37" spans="1:6">
      <c r="A37">
        <v>20015555</v>
      </c>
      <c r="B37" t="s">
        <v>123</v>
      </c>
      <c r="E37" t="s">
        <v>119</v>
      </c>
      <c r="F37">
        <v>0</v>
      </c>
    </row>
    <row r="38" spans="1:6">
      <c r="A38">
        <v>20015555</v>
      </c>
      <c r="B38" t="s">
        <v>124</v>
      </c>
      <c r="E38" t="s">
        <v>119</v>
      </c>
      <c r="F38">
        <v>0</v>
      </c>
    </row>
    <row r="39" spans="1:6">
      <c r="A39">
        <v>20015555</v>
      </c>
      <c r="B39" t="s">
        <v>125</v>
      </c>
      <c r="E39" t="s">
        <v>119</v>
      </c>
      <c r="F39">
        <v>0</v>
      </c>
    </row>
    <row r="40" spans="1:6">
      <c r="A40">
        <v>20015555</v>
      </c>
      <c r="B40" t="s">
        <v>126</v>
      </c>
      <c r="E40" t="s">
        <v>119</v>
      </c>
      <c r="F40">
        <v>0</v>
      </c>
    </row>
    <row r="41" spans="1:6">
      <c r="A41">
        <v>20015555</v>
      </c>
      <c r="B41" t="s">
        <v>127</v>
      </c>
      <c r="E41" t="s">
        <v>119</v>
      </c>
      <c r="F41">
        <v>0</v>
      </c>
    </row>
    <row r="42" spans="1:6">
      <c r="A42">
        <v>20016666</v>
      </c>
      <c r="B42" t="s">
        <v>120</v>
      </c>
      <c r="C42" s="2"/>
      <c r="E42" t="s">
        <v>119</v>
      </c>
      <c r="F42">
        <v>0</v>
      </c>
    </row>
    <row r="43" spans="1:6">
      <c r="A43">
        <v>20016666</v>
      </c>
      <c r="B43" t="s">
        <v>121</v>
      </c>
      <c r="E43" t="s">
        <v>119</v>
      </c>
      <c r="F43">
        <v>0</v>
      </c>
    </row>
    <row r="44" spans="1:6">
      <c r="A44">
        <v>20016666</v>
      </c>
      <c r="B44" t="s">
        <v>122</v>
      </c>
      <c r="E44" t="s">
        <v>119</v>
      </c>
      <c r="F44">
        <v>0</v>
      </c>
    </row>
    <row r="45" spans="1:6">
      <c r="A45">
        <v>20016666</v>
      </c>
      <c r="B45" t="s">
        <v>123</v>
      </c>
      <c r="E45" t="s">
        <v>119</v>
      </c>
      <c r="F45">
        <v>0</v>
      </c>
    </row>
    <row r="46" spans="1:6">
      <c r="A46">
        <v>20015555</v>
      </c>
      <c r="B46" t="s">
        <v>124</v>
      </c>
      <c r="E46" t="s">
        <v>119</v>
      </c>
      <c r="F46">
        <v>0</v>
      </c>
    </row>
    <row r="47" spans="1:6">
      <c r="A47">
        <v>20015555</v>
      </c>
      <c r="B47" t="s">
        <v>125</v>
      </c>
      <c r="E47" t="s">
        <v>119</v>
      </c>
      <c r="F47">
        <v>0</v>
      </c>
    </row>
    <row r="48" spans="1:6">
      <c r="A48">
        <v>20015555</v>
      </c>
      <c r="B48" t="s">
        <v>126</v>
      </c>
      <c r="E48" t="s">
        <v>119</v>
      </c>
      <c r="F48">
        <v>0</v>
      </c>
    </row>
    <row r="49" spans="1:6">
      <c r="A49">
        <v>20015555</v>
      </c>
      <c r="B49" t="s">
        <v>127</v>
      </c>
      <c r="E49" t="s">
        <v>119</v>
      </c>
      <c r="F49">
        <v>0</v>
      </c>
    </row>
    <row r="50" spans="1:6">
      <c r="A50">
        <v>20001111</v>
      </c>
      <c r="B50" t="s">
        <v>137</v>
      </c>
      <c r="C50" s="2"/>
      <c r="E50" t="s">
        <v>119</v>
      </c>
      <c r="F50">
        <v>0</v>
      </c>
    </row>
    <row r="51" spans="1:6">
      <c r="A51">
        <v>20001111</v>
      </c>
      <c r="B51" t="s">
        <v>138</v>
      </c>
      <c r="E51" t="s">
        <v>55</v>
      </c>
      <c r="F51">
        <v>0</v>
      </c>
    </row>
    <row r="52" spans="1:6">
      <c r="A52">
        <v>20001111</v>
      </c>
      <c r="B52" t="s">
        <v>139</v>
      </c>
      <c r="E52" t="s">
        <v>119</v>
      </c>
      <c r="F52">
        <v>0</v>
      </c>
    </row>
    <row r="53" spans="1:6">
      <c r="A53">
        <v>20001111</v>
      </c>
      <c r="B53" t="s">
        <v>140</v>
      </c>
      <c r="E53" t="s">
        <v>119</v>
      </c>
      <c r="F53">
        <v>0</v>
      </c>
    </row>
    <row r="54" spans="1:6">
      <c r="A54">
        <v>20001111</v>
      </c>
      <c r="B54" t="s">
        <v>141</v>
      </c>
      <c r="E54" t="s">
        <v>135</v>
      </c>
      <c r="F54">
        <v>0</v>
      </c>
    </row>
    <row r="55" spans="1:6">
      <c r="A55">
        <v>20001111</v>
      </c>
      <c r="B55" t="s">
        <v>142</v>
      </c>
      <c r="E55" t="s">
        <v>119</v>
      </c>
      <c r="F55">
        <v>0</v>
      </c>
    </row>
    <row r="56" spans="1:6">
      <c r="A56">
        <v>20001111</v>
      </c>
      <c r="B56" t="s">
        <v>143</v>
      </c>
      <c r="E56" t="s">
        <v>119</v>
      </c>
      <c r="F56">
        <v>0</v>
      </c>
    </row>
    <row r="57" spans="1:6">
      <c r="A57">
        <v>20001111</v>
      </c>
      <c r="B57" t="s">
        <v>144</v>
      </c>
      <c r="E57" t="s">
        <v>119</v>
      </c>
      <c r="F57">
        <v>0</v>
      </c>
    </row>
    <row r="58" spans="1:6">
      <c r="A58">
        <v>20002222</v>
      </c>
      <c r="B58" t="s">
        <v>137</v>
      </c>
      <c r="C58" s="2"/>
      <c r="E58" t="s">
        <v>55</v>
      </c>
      <c r="F58">
        <v>0</v>
      </c>
    </row>
    <row r="59" spans="1:6">
      <c r="A59">
        <v>20002222</v>
      </c>
      <c r="B59" t="s">
        <v>138</v>
      </c>
      <c r="E59" t="s">
        <v>135</v>
      </c>
      <c r="F59">
        <v>0</v>
      </c>
    </row>
    <row r="60" spans="1:6">
      <c r="A60">
        <v>20002222</v>
      </c>
      <c r="B60" t="s">
        <v>139</v>
      </c>
      <c r="E60" t="s">
        <v>119</v>
      </c>
      <c r="F60">
        <v>0</v>
      </c>
    </row>
    <row r="61" spans="1:6">
      <c r="A61">
        <v>20002222</v>
      </c>
      <c r="B61" t="s">
        <v>140</v>
      </c>
      <c r="E61" t="s">
        <v>119</v>
      </c>
      <c r="F61">
        <v>0</v>
      </c>
    </row>
    <row r="62" spans="1:6">
      <c r="A62">
        <v>20002222</v>
      </c>
      <c r="B62" t="s">
        <v>141</v>
      </c>
      <c r="E62" t="s">
        <v>119</v>
      </c>
      <c r="F62">
        <v>0</v>
      </c>
    </row>
    <row r="63" spans="1:6">
      <c r="A63">
        <v>20002222</v>
      </c>
      <c r="B63" t="s">
        <v>142</v>
      </c>
      <c r="E63" t="s">
        <v>119</v>
      </c>
      <c r="F63">
        <v>0</v>
      </c>
    </row>
    <row r="64" spans="1:6">
      <c r="A64">
        <v>20002222</v>
      </c>
      <c r="B64" t="s">
        <v>143</v>
      </c>
      <c r="E64" t="s">
        <v>119</v>
      </c>
      <c r="F64">
        <v>0</v>
      </c>
    </row>
    <row r="65" spans="1:6">
      <c r="A65">
        <v>20002222</v>
      </c>
      <c r="B65" t="s">
        <v>144</v>
      </c>
      <c r="E65" t="s">
        <v>119</v>
      </c>
      <c r="F65">
        <v>0</v>
      </c>
    </row>
    <row r="66" spans="1:6">
      <c r="A66">
        <v>20003333</v>
      </c>
      <c r="B66" t="s">
        <v>137</v>
      </c>
      <c r="C66" s="2"/>
      <c r="E66" t="s">
        <v>55</v>
      </c>
      <c r="F66">
        <v>0</v>
      </c>
    </row>
    <row r="67" spans="1:6">
      <c r="A67">
        <v>20003333</v>
      </c>
      <c r="B67" t="s">
        <v>138</v>
      </c>
      <c r="E67" t="s">
        <v>119</v>
      </c>
      <c r="F67">
        <v>0</v>
      </c>
    </row>
    <row r="68" spans="1:6">
      <c r="A68">
        <v>20003333</v>
      </c>
      <c r="B68" t="s">
        <v>139</v>
      </c>
      <c r="E68" t="s">
        <v>135</v>
      </c>
      <c r="F68">
        <v>0</v>
      </c>
    </row>
    <row r="69" spans="1:6">
      <c r="A69">
        <v>20003333</v>
      </c>
      <c r="B69" t="s">
        <v>140</v>
      </c>
      <c r="E69" t="s">
        <v>119</v>
      </c>
      <c r="F69">
        <v>0</v>
      </c>
    </row>
    <row r="70" spans="1:6">
      <c r="A70">
        <v>20003333</v>
      </c>
      <c r="B70" t="s">
        <v>141</v>
      </c>
      <c r="E70" t="s">
        <v>119</v>
      </c>
      <c r="F70">
        <v>0</v>
      </c>
    </row>
    <row r="71" spans="1:6">
      <c r="A71">
        <v>20003333</v>
      </c>
      <c r="B71" t="s">
        <v>142</v>
      </c>
      <c r="E71" t="s">
        <v>119</v>
      </c>
      <c r="F71">
        <v>0</v>
      </c>
    </row>
    <row r="72" spans="1:6">
      <c r="A72">
        <v>20003333</v>
      </c>
      <c r="B72" t="s">
        <v>143</v>
      </c>
      <c r="E72" t="s">
        <v>119</v>
      </c>
      <c r="F72">
        <v>0</v>
      </c>
    </row>
    <row r="73" spans="1:6">
      <c r="A73">
        <v>20003333</v>
      </c>
      <c r="B73" t="s">
        <v>144</v>
      </c>
      <c r="E73" t="s">
        <v>119</v>
      </c>
      <c r="F73">
        <v>0</v>
      </c>
    </row>
    <row r="74" spans="1:6">
      <c r="A74">
        <v>20004444</v>
      </c>
      <c r="B74" t="s">
        <v>137</v>
      </c>
      <c r="C74" s="2"/>
      <c r="E74" t="s">
        <v>55</v>
      </c>
      <c r="F74">
        <v>0</v>
      </c>
    </row>
    <row r="75" spans="1:6">
      <c r="A75">
        <v>20004444</v>
      </c>
      <c r="B75" t="s">
        <v>138</v>
      </c>
      <c r="E75" t="s">
        <v>135</v>
      </c>
      <c r="F75">
        <v>0</v>
      </c>
    </row>
    <row r="76" spans="1:6">
      <c r="A76">
        <v>20004444</v>
      </c>
      <c r="B76" t="s">
        <v>139</v>
      </c>
      <c r="E76" t="s">
        <v>119</v>
      </c>
      <c r="F76">
        <v>0</v>
      </c>
    </row>
    <row r="77" spans="1:6">
      <c r="A77">
        <v>20004444</v>
      </c>
      <c r="B77" t="s">
        <v>140</v>
      </c>
      <c r="E77" t="s">
        <v>119</v>
      </c>
      <c r="F77">
        <v>0</v>
      </c>
    </row>
    <row r="78" spans="1:6">
      <c r="A78">
        <v>20004444</v>
      </c>
      <c r="B78" t="s">
        <v>141</v>
      </c>
      <c r="E78" t="s">
        <v>119</v>
      </c>
      <c r="F78">
        <v>0</v>
      </c>
    </row>
    <row r="79" spans="1:6">
      <c r="A79">
        <v>20004444</v>
      </c>
      <c r="B79" t="s">
        <v>142</v>
      </c>
      <c r="E79" t="s">
        <v>119</v>
      </c>
      <c r="F79">
        <v>0</v>
      </c>
    </row>
    <row r="80" spans="1:6">
      <c r="A80">
        <v>20004444</v>
      </c>
      <c r="B80" t="s">
        <v>143</v>
      </c>
      <c r="E80" t="s">
        <v>119</v>
      </c>
      <c r="F80">
        <v>0</v>
      </c>
    </row>
    <row r="81" spans="1:6">
      <c r="A81">
        <v>20004444</v>
      </c>
      <c r="B81" t="s">
        <v>144</v>
      </c>
      <c r="E81" t="s">
        <v>119</v>
      </c>
      <c r="F81">
        <v>0</v>
      </c>
    </row>
    <row r="82" spans="1:6">
      <c r="A82">
        <v>20005555</v>
      </c>
      <c r="B82" t="s">
        <v>137</v>
      </c>
      <c r="C82" s="2"/>
      <c r="E82" t="s">
        <v>119</v>
      </c>
      <c r="F82">
        <v>0</v>
      </c>
    </row>
    <row r="83" spans="1:6">
      <c r="A83">
        <v>20005555</v>
      </c>
      <c r="B83" t="s">
        <v>138</v>
      </c>
      <c r="E83" t="s">
        <v>119</v>
      </c>
      <c r="F83">
        <v>0</v>
      </c>
    </row>
    <row r="84" spans="1:6">
      <c r="A84">
        <v>20005555</v>
      </c>
      <c r="B84" t="s">
        <v>139</v>
      </c>
      <c r="E84" t="s">
        <v>119</v>
      </c>
      <c r="F84">
        <v>0</v>
      </c>
    </row>
    <row r="85" spans="1:6">
      <c r="A85">
        <v>20005555</v>
      </c>
      <c r="B85" t="s">
        <v>140</v>
      </c>
      <c r="E85" t="s">
        <v>119</v>
      </c>
      <c r="F85">
        <v>0</v>
      </c>
    </row>
    <row r="86" spans="1:6">
      <c r="A86">
        <v>20005555</v>
      </c>
      <c r="B86" t="s">
        <v>141</v>
      </c>
      <c r="E86" t="s">
        <v>119</v>
      </c>
      <c r="F86">
        <v>0</v>
      </c>
    </row>
    <row r="87" spans="1:6">
      <c r="A87">
        <v>20005555</v>
      </c>
      <c r="B87" t="s">
        <v>142</v>
      </c>
      <c r="E87" t="s">
        <v>119</v>
      </c>
      <c r="F87">
        <v>0</v>
      </c>
    </row>
    <row r="88" spans="1:6">
      <c r="A88">
        <v>20005555</v>
      </c>
      <c r="B88" t="s">
        <v>143</v>
      </c>
      <c r="E88" t="s">
        <v>119</v>
      </c>
      <c r="F88">
        <v>0</v>
      </c>
    </row>
    <row r="89" spans="1:6">
      <c r="A89">
        <v>20005555</v>
      </c>
      <c r="B89" t="s">
        <v>144</v>
      </c>
      <c r="E89" t="s">
        <v>119</v>
      </c>
      <c r="F89">
        <v>0</v>
      </c>
    </row>
    <row r="90" spans="1:6">
      <c r="A90">
        <v>20006666</v>
      </c>
      <c r="B90" t="s">
        <v>137</v>
      </c>
      <c r="C90" s="2"/>
      <c r="E90" t="s">
        <v>119</v>
      </c>
      <c r="F90">
        <v>0</v>
      </c>
    </row>
    <row r="91" spans="1:6">
      <c r="A91">
        <v>20006666</v>
      </c>
      <c r="B91" t="s">
        <v>138</v>
      </c>
      <c r="E91" t="s">
        <v>119</v>
      </c>
      <c r="F91">
        <v>0</v>
      </c>
    </row>
    <row r="92" spans="1:6">
      <c r="A92">
        <v>20006666</v>
      </c>
      <c r="B92" t="s">
        <v>139</v>
      </c>
      <c r="E92" t="s">
        <v>119</v>
      </c>
      <c r="F92">
        <v>0</v>
      </c>
    </row>
    <row r="93" spans="1:6">
      <c r="A93">
        <v>20006666</v>
      </c>
      <c r="B93" t="s">
        <v>140</v>
      </c>
      <c r="E93" t="s">
        <v>119</v>
      </c>
      <c r="F93">
        <v>0</v>
      </c>
    </row>
    <row r="94" spans="1:6">
      <c r="A94">
        <v>20005555</v>
      </c>
      <c r="B94" t="s">
        <v>141</v>
      </c>
      <c r="E94" t="s">
        <v>119</v>
      </c>
      <c r="F94">
        <v>0</v>
      </c>
    </row>
    <row r="95" spans="1:6">
      <c r="A95">
        <v>20005555</v>
      </c>
      <c r="B95" t="s">
        <v>142</v>
      </c>
      <c r="E95" t="s">
        <v>119</v>
      </c>
      <c r="F95">
        <v>0</v>
      </c>
    </row>
    <row r="96" spans="1:6">
      <c r="A96">
        <v>20005555</v>
      </c>
      <c r="B96" t="s">
        <v>143</v>
      </c>
      <c r="E96" t="s">
        <v>119</v>
      </c>
      <c r="F96">
        <v>0</v>
      </c>
    </row>
    <row r="97" spans="1:6">
      <c r="A97">
        <v>20005555</v>
      </c>
      <c r="B97" t="s">
        <v>144</v>
      </c>
      <c r="E97" t="s">
        <v>119</v>
      </c>
      <c r="F97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FB82B-73D4-4BBE-B9AB-91FA20331C90}">
  <dimension ref="A1:C17"/>
  <sheetViews>
    <sheetView workbookViewId="0">
      <selection activeCell="H26" sqref="H26"/>
    </sheetView>
  </sheetViews>
  <sheetFormatPr defaultRowHeight="14.5"/>
  <cols>
    <col min="1" max="1" width="9.81640625" bestFit="1" customWidth="1"/>
    <col min="2" max="2" width="12.1796875" bestFit="1" customWidth="1"/>
    <col min="3" max="3" width="5.90625" bestFit="1" customWidth="1"/>
  </cols>
  <sheetData>
    <row r="1" spans="1:3">
      <c r="A1" t="s">
        <v>116</v>
      </c>
      <c r="B1" t="s">
        <v>129</v>
      </c>
      <c r="C1" t="s">
        <v>54</v>
      </c>
    </row>
    <row r="2" spans="1:3">
      <c r="A2">
        <v>20001111</v>
      </c>
      <c r="B2" t="s">
        <v>130</v>
      </c>
      <c r="C2" t="s">
        <v>55</v>
      </c>
    </row>
    <row r="3" spans="1:3">
      <c r="A3">
        <v>20002222</v>
      </c>
      <c r="B3" t="s">
        <v>130</v>
      </c>
      <c r="C3" t="s">
        <v>55</v>
      </c>
    </row>
    <row r="4" spans="1:3">
      <c r="A4">
        <v>20003333</v>
      </c>
      <c r="B4" t="s">
        <v>131</v>
      </c>
      <c r="C4" t="s">
        <v>55</v>
      </c>
    </row>
    <row r="5" spans="1:3">
      <c r="A5">
        <v>20004444</v>
      </c>
      <c r="B5" t="s">
        <v>132</v>
      </c>
      <c r="C5" t="s">
        <v>55</v>
      </c>
    </row>
    <row r="6" spans="1:3">
      <c r="A6">
        <v>20005555</v>
      </c>
      <c r="B6" t="s">
        <v>133</v>
      </c>
      <c r="C6" t="s">
        <v>134</v>
      </c>
    </row>
    <row r="7" spans="1:3">
      <c r="A7">
        <v>20006666</v>
      </c>
      <c r="B7" t="s">
        <v>133</v>
      </c>
      <c r="C7" t="s">
        <v>134</v>
      </c>
    </row>
    <row r="8" spans="1:3">
      <c r="A8">
        <v>20007777</v>
      </c>
      <c r="B8" t="s">
        <v>133</v>
      </c>
      <c r="C8" t="s">
        <v>55</v>
      </c>
    </row>
    <row r="9" spans="1:3">
      <c r="A9">
        <v>20008888</v>
      </c>
      <c r="B9" t="s">
        <v>133</v>
      </c>
      <c r="C9" t="s">
        <v>55</v>
      </c>
    </row>
    <row r="10" spans="1:3">
      <c r="A10">
        <v>20011111</v>
      </c>
      <c r="B10" t="s">
        <v>130</v>
      </c>
      <c r="C10" t="s">
        <v>55</v>
      </c>
    </row>
    <row r="11" spans="1:3">
      <c r="A11">
        <v>20012222</v>
      </c>
      <c r="B11" t="s">
        <v>130</v>
      </c>
      <c r="C11" t="s">
        <v>55</v>
      </c>
    </row>
    <row r="12" spans="1:3">
      <c r="A12">
        <v>20013333</v>
      </c>
      <c r="B12" t="s">
        <v>131</v>
      </c>
      <c r="C12" t="s">
        <v>55</v>
      </c>
    </row>
    <row r="13" spans="1:3">
      <c r="A13">
        <v>20014444</v>
      </c>
      <c r="B13" t="s">
        <v>132</v>
      </c>
      <c r="C13" t="s">
        <v>55</v>
      </c>
    </row>
    <row r="14" spans="1:3">
      <c r="A14">
        <v>20015555</v>
      </c>
      <c r="B14" t="s">
        <v>133</v>
      </c>
      <c r="C14" t="s">
        <v>134</v>
      </c>
    </row>
    <row r="15" spans="1:3">
      <c r="A15">
        <v>20016666</v>
      </c>
      <c r="B15" t="s">
        <v>133</v>
      </c>
      <c r="C15" t="s">
        <v>134</v>
      </c>
    </row>
    <row r="16" spans="1:3">
      <c r="A16">
        <v>20017777</v>
      </c>
      <c r="B16" t="s">
        <v>133</v>
      </c>
      <c r="C16" t="s">
        <v>55</v>
      </c>
    </row>
    <row r="17" spans="1:3">
      <c r="A17">
        <v>20018888</v>
      </c>
      <c r="B17" t="s">
        <v>133</v>
      </c>
      <c r="C17" t="s">
        <v>55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922A0-3546-4AEB-A2BE-3C96BCE69308}">
  <dimension ref="B2:I27"/>
  <sheetViews>
    <sheetView workbookViewId="0">
      <selection activeCell="D39" sqref="D39"/>
    </sheetView>
  </sheetViews>
  <sheetFormatPr defaultRowHeight="14.5"/>
  <cols>
    <col min="2" max="2" width="43.453125" customWidth="1"/>
    <col min="6" max="6" width="11.453125" bestFit="1" customWidth="1"/>
    <col min="7" max="7" width="43.54296875" bestFit="1" customWidth="1"/>
    <col min="8" max="8" width="12" bestFit="1" customWidth="1"/>
  </cols>
  <sheetData>
    <row r="2" spans="2:9">
      <c r="B2" t="s">
        <v>0</v>
      </c>
      <c r="D2" t="str">
        <f t="shared" ref="D2:D27" si="0">MID(B2,6,FIND(" ",B2))</f>
        <v xml:space="preserve"> ITCS </v>
      </c>
      <c r="E2" t="str">
        <f t="shared" ref="E2:E27" si="1">LEFT(B2,FIND(" ",B2))</f>
        <v xml:space="preserve">5.100 </v>
      </c>
      <c r="F2" t="str">
        <f>CONCATENATE(TRIM(D2),E2)</f>
        <v xml:space="preserve">ITCS5.100 </v>
      </c>
      <c r="G2" s="1" t="str">
        <f>TRIM(REPLACE(B2,1,LEN(F2)-3,""))</f>
        <v>TCS Computer System Architecture</v>
      </c>
      <c r="H2" t="s">
        <v>57</v>
      </c>
      <c r="I2" t="s">
        <v>26</v>
      </c>
    </row>
    <row r="3" spans="2:9">
      <c r="B3" t="s">
        <v>1</v>
      </c>
      <c r="D3" t="str">
        <f t="shared" si="0"/>
        <v xml:space="preserve"> ITPF </v>
      </c>
      <c r="E3" t="str">
        <f t="shared" si="1"/>
        <v xml:space="preserve">5.110 </v>
      </c>
      <c r="F3" t="str">
        <f t="shared" ref="F3:F27" si="2">CONCATENATE(TRIM(D3),E3)</f>
        <v xml:space="preserve">ITPF5.110 </v>
      </c>
      <c r="G3" s="1" t="str">
        <f t="shared" ref="G3:G27" si="3">TRIM(REPLACE(B3,1,LEN(F3)-3,""))</f>
        <v>TPF Programming Fundamentals</v>
      </c>
      <c r="H3" t="s">
        <v>58</v>
      </c>
      <c r="I3" t="s">
        <v>27</v>
      </c>
    </row>
    <row r="4" spans="2:9">
      <c r="B4" t="s">
        <v>2</v>
      </c>
      <c r="D4" t="str">
        <f t="shared" si="0"/>
        <v xml:space="preserve"> ITCT </v>
      </c>
      <c r="E4" t="str">
        <f t="shared" si="1"/>
        <v xml:space="preserve">5.120 </v>
      </c>
      <c r="F4" t="str">
        <f t="shared" si="2"/>
        <v xml:space="preserve">ITCT5.120 </v>
      </c>
      <c r="G4" s="1" t="str">
        <f t="shared" si="3"/>
        <v>TCT Concepts &amp; Tools</v>
      </c>
      <c r="H4" t="s">
        <v>59</v>
      </c>
      <c r="I4" t="s">
        <v>28</v>
      </c>
    </row>
    <row r="5" spans="2:9">
      <c r="B5" t="s">
        <v>3</v>
      </c>
      <c r="D5" t="str">
        <f t="shared" si="0"/>
        <v xml:space="preserve"> ITWD </v>
      </c>
      <c r="E5" t="str">
        <f t="shared" si="1"/>
        <v xml:space="preserve">5.130 </v>
      </c>
      <c r="F5" t="str">
        <f t="shared" si="2"/>
        <v xml:space="preserve">ITWD5.130 </v>
      </c>
      <c r="G5" s="1" t="str">
        <f t="shared" si="3"/>
        <v>TWD Website Development</v>
      </c>
      <c r="H5" t="s">
        <v>60</v>
      </c>
      <c r="I5" t="s">
        <v>29</v>
      </c>
    </row>
    <row r="6" spans="2:9">
      <c r="B6" t="s">
        <v>4</v>
      </c>
      <c r="D6" t="str">
        <f t="shared" si="0"/>
        <v xml:space="preserve"> ITUX </v>
      </c>
      <c r="E6" t="str">
        <f t="shared" si="1"/>
        <v xml:space="preserve">5.210 </v>
      </c>
      <c r="F6" t="str">
        <f t="shared" si="2"/>
        <v xml:space="preserve">ITUX5.210 </v>
      </c>
      <c r="G6" s="1" t="str">
        <f t="shared" si="3"/>
        <v>TUX UX and UI fundamental</v>
      </c>
      <c r="H6" t="s">
        <v>61</v>
      </c>
      <c r="I6" t="s">
        <v>30</v>
      </c>
    </row>
    <row r="7" spans="2:9">
      <c r="B7" t="s">
        <v>5</v>
      </c>
      <c r="D7" t="str">
        <f t="shared" si="0"/>
        <v xml:space="preserve"> ITDT </v>
      </c>
      <c r="E7" t="str">
        <f t="shared" si="1"/>
        <v xml:space="preserve">5.228 </v>
      </c>
      <c r="F7" t="str">
        <f t="shared" si="2"/>
        <v xml:space="preserve">ITDT5.228 </v>
      </c>
      <c r="G7" s="1" t="str">
        <f t="shared" si="3"/>
        <v>TDT Intro to Data Concepts</v>
      </c>
      <c r="H7" t="s">
        <v>62</v>
      </c>
      <c r="I7" t="s">
        <v>31</v>
      </c>
    </row>
    <row r="8" spans="2:9">
      <c r="B8" t="s">
        <v>6</v>
      </c>
      <c r="D8" t="str">
        <f t="shared" si="0"/>
        <v xml:space="preserve"> ITPM </v>
      </c>
      <c r="E8" t="str">
        <f t="shared" si="1"/>
        <v xml:space="preserve">5.240 </v>
      </c>
      <c r="F8" t="str">
        <f t="shared" si="2"/>
        <v xml:space="preserve">ITPM5.240 </v>
      </c>
      <c r="G8" s="1" t="str">
        <f t="shared" si="3"/>
        <v>TPM Agile Projects</v>
      </c>
      <c r="H8" t="s">
        <v>63</v>
      </c>
      <c r="I8" t="s">
        <v>32</v>
      </c>
    </row>
    <row r="9" spans="2:9">
      <c r="B9" t="s">
        <v>7</v>
      </c>
      <c r="D9" t="str">
        <f t="shared" si="0"/>
        <v xml:space="preserve"> ITIS </v>
      </c>
      <c r="E9" t="str">
        <f t="shared" si="1"/>
        <v xml:space="preserve">5.450 </v>
      </c>
      <c r="F9" t="str">
        <f t="shared" si="2"/>
        <v xml:space="preserve">ITIS5.450 </v>
      </c>
      <c r="G9" s="1" t="str">
        <f t="shared" si="3"/>
        <v>TIS Information Systems</v>
      </c>
      <c r="H9" t="s">
        <v>64</v>
      </c>
      <c r="I9" t="s">
        <v>33</v>
      </c>
    </row>
    <row r="10" spans="2:9">
      <c r="B10" t="s">
        <v>8</v>
      </c>
      <c r="D10" t="str">
        <f t="shared" si="0"/>
        <v xml:space="preserve"> ITAE </v>
      </c>
      <c r="E10" t="str">
        <f t="shared" si="1"/>
        <v xml:space="preserve">6.100 </v>
      </c>
      <c r="F10" t="str">
        <f t="shared" si="2"/>
        <v xml:space="preserve">ITAE6.100 </v>
      </c>
      <c r="G10" s="1" t="str">
        <f t="shared" si="3"/>
        <v>TAE Automation and Embedded Systems</v>
      </c>
      <c r="H10" t="s">
        <v>65</v>
      </c>
      <c r="I10" t="s">
        <v>34</v>
      </c>
    </row>
    <row r="11" spans="2:9">
      <c r="B11" t="s">
        <v>9</v>
      </c>
      <c r="D11" t="str">
        <f t="shared" si="0"/>
        <v xml:space="preserve"> ITDB </v>
      </c>
      <c r="E11" t="str">
        <f t="shared" si="1"/>
        <v xml:space="preserve">6.208 </v>
      </c>
      <c r="F11" t="str">
        <f t="shared" si="2"/>
        <v xml:space="preserve">ITDB6.208 </v>
      </c>
      <c r="G11" s="1" t="str">
        <f t="shared" si="3"/>
        <v>TDB Database Management Systems</v>
      </c>
      <c r="H11" t="s">
        <v>66</v>
      </c>
      <c r="I11" t="s">
        <v>35</v>
      </c>
    </row>
    <row r="12" spans="2:9">
      <c r="B12" t="s">
        <v>10</v>
      </c>
      <c r="D12" t="str">
        <f t="shared" si="0"/>
        <v xml:space="preserve"> ITDC </v>
      </c>
      <c r="E12" t="str">
        <f t="shared" si="1"/>
        <v xml:space="preserve">6.218 </v>
      </c>
      <c r="F12" t="str">
        <f t="shared" si="2"/>
        <v xml:space="preserve">ITDC6.218 </v>
      </c>
      <c r="G12" s="1" t="str">
        <f t="shared" si="3"/>
        <v>TDC Data Communications &amp; Networking</v>
      </c>
      <c r="H12" t="s">
        <v>67</v>
      </c>
      <c r="I12" t="s">
        <v>36</v>
      </c>
    </row>
    <row r="13" spans="2:9">
      <c r="B13" t="s">
        <v>11</v>
      </c>
      <c r="D13" t="str">
        <f t="shared" si="0"/>
        <v xml:space="preserve"> ITHW </v>
      </c>
      <c r="E13" t="str">
        <f t="shared" si="1"/>
        <v xml:space="preserve">6.238 </v>
      </c>
      <c r="F13" t="str">
        <f t="shared" si="2"/>
        <v xml:space="preserve">ITHW6.238 </v>
      </c>
      <c r="G13" s="1" t="str">
        <f t="shared" si="3"/>
        <v>THW Electronics and Internet of Things Technology</v>
      </c>
      <c r="H13" t="s">
        <v>68</v>
      </c>
      <c r="I13" t="s">
        <v>37</v>
      </c>
    </row>
    <row r="14" spans="2:9">
      <c r="B14" t="s">
        <v>12</v>
      </c>
      <c r="D14" t="str">
        <f t="shared" si="0"/>
        <v xml:space="preserve"> ITMA </v>
      </c>
      <c r="E14" t="str">
        <f t="shared" si="1"/>
        <v xml:space="preserve">6.240 </v>
      </c>
      <c r="F14" t="str">
        <f t="shared" si="2"/>
        <v xml:space="preserve">ITMA6.240 </v>
      </c>
      <c r="G14" s="1" t="str">
        <f t="shared" si="3"/>
        <v>TMA Maths in IT</v>
      </c>
      <c r="H14" t="s">
        <v>69</v>
      </c>
      <c r="I14" t="s">
        <v>38</v>
      </c>
    </row>
    <row r="15" spans="2:9">
      <c r="B15" t="s">
        <v>13</v>
      </c>
      <c r="D15" t="str">
        <f t="shared" si="0"/>
        <v xml:space="preserve"> ITPM </v>
      </c>
      <c r="E15" t="str">
        <f t="shared" si="1"/>
        <v xml:space="preserve">6.318 </v>
      </c>
      <c r="F15" t="str">
        <f t="shared" si="2"/>
        <v xml:space="preserve">ITPM6.318 </v>
      </c>
      <c r="G15" s="1" t="str">
        <f t="shared" si="3"/>
        <v>TPM Project Management</v>
      </c>
      <c r="H15" t="s">
        <v>70</v>
      </c>
      <c r="I15" t="s">
        <v>39</v>
      </c>
    </row>
    <row r="16" spans="2:9">
      <c r="B16" t="s">
        <v>14</v>
      </c>
      <c r="D16" t="str">
        <f t="shared" si="0"/>
        <v xml:space="preserve"> ITSD </v>
      </c>
      <c r="E16" t="str">
        <f t="shared" si="1"/>
        <v xml:space="preserve">6.348 </v>
      </c>
      <c r="F16" t="str">
        <f t="shared" si="2"/>
        <v xml:space="preserve">ITSD6.348 </v>
      </c>
      <c r="G16" s="1" t="str">
        <f t="shared" si="3"/>
        <v>TSD Systems Analysis</v>
      </c>
      <c r="H16" t="s">
        <v>71</v>
      </c>
      <c r="I16" t="s">
        <v>40</v>
      </c>
    </row>
    <row r="17" spans="2:9">
      <c r="B17" t="s">
        <v>15</v>
      </c>
      <c r="D17" t="str">
        <f t="shared" si="0"/>
        <v xml:space="preserve"> ITSD </v>
      </c>
      <c r="E17" t="str">
        <f t="shared" si="1"/>
        <v xml:space="preserve">6.349 </v>
      </c>
      <c r="F17" t="str">
        <f t="shared" si="2"/>
        <v xml:space="preserve">ITSD6.349 </v>
      </c>
      <c r="G17" s="1" t="str">
        <f t="shared" si="3"/>
        <v>TSD Systems Design</v>
      </c>
      <c r="H17" t="s">
        <v>72</v>
      </c>
      <c r="I17" t="s">
        <v>41</v>
      </c>
    </row>
    <row r="18" spans="2:9">
      <c r="B18" t="s">
        <v>16</v>
      </c>
      <c r="D18" t="str">
        <f t="shared" si="0"/>
        <v xml:space="preserve"> ITPR </v>
      </c>
      <c r="E18" t="str">
        <f t="shared" si="1"/>
        <v xml:space="preserve">6.358 </v>
      </c>
      <c r="F18" t="str">
        <f t="shared" si="2"/>
        <v xml:space="preserve">ITPR6.358 </v>
      </c>
      <c r="G18" s="1" t="str">
        <f t="shared" si="3"/>
        <v>TPR User Experience &amp; User Interfaces</v>
      </c>
      <c r="H18" t="s">
        <v>73</v>
      </c>
      <c r="I18" t="s">
        <v>42</v>
      </c>
    </row>
    <row r="19" spans="2:9">
      <c r="B19" t="s">
        <v>17</v>
      </c>
      <c r="D19" t="str">
        <f t="shared" si="0"/>
        <v xml:space="preserve"> ITKM </v>
      </c>
      <c r="E19" t="str">
        <f t="shared" si="1"/>
        <v xml:space="preserve">6.398 </v>
      </c>
      <c r="F19" t="str">
        <f t="shared" si="2"/>
        <v xml:space="preserve">ITKM6.398 </v>
      </c>
      <c r="G19" s="1" t="str">
        <f t="shared" si="3"/>
        <v>TKM Knowledge Management</v>
      </c>
      <c r="H19" t="s">
        <v>74</v>
      </c>
      <c r="I19" t="s">
        <v>43</v>
      </c>
    </row>
    <row r="20" spans="2:9">
      <c r="B20" t="s">
        <v>18</v>
      </c>
      <c r="D20" t="str">
        <f t="shared" si="0"/>
        <v xml:space="preserve"> ITWD </v>
      </c>
      <c r="E20" t="str">
        <f t="shared" si="1"/>
        <v xml:space="preserve">6.408 </v>
      </c>
      <c r="F20" t="str">
        <f t="shared" si="2"/>
        <v xml:space="preserve">ITWD6.408 </v>
      </c>
      <c r="G20" s="1" t="str">
        <f t="shared" si="3"/>
        <v>TWD Adv. Internet and Web Page Development</v>
      </c>
      <c r="H20" t="s">
        <v>75</v>
      </c>
      <c r="I20" t="s">
        <v>44</v>
      </c>
    </row>
    <row r="21" spans="2:9">
      <c r="B21" t="s">
        <v>19</v>
      </c>
      <c r="D21" t="str">
        <f t="shared" si="0"/>
        <v xml:space="preserve"> ITCP </v>
      </c>
      <c r="E21" t="str">
        <f t="shared" si="1"/>
        <v xml:space="preserve">7.00x </v>
      </c>
      <c r="F21" t="str">
        <f t="shared" si="2"/>
        <v xml:space="preserve">ITCP7.00x </v>
      </c>
      <c r="G21" s="1" t="str">
        <f t="shared" si="3"/>
        <v>TCP Capstone part 1 &amp; 2</v>
      </c>
      <c r="H21" t="s">
        <v>76</v>
      </c>
      <c r="I21" t="s">
        <v>45</v>
      </c>
    </row>
    <row r="22" spans="2:9">
      <c r="B22" t="s">
        <v>20</v>
      </c>
      <c r="D22" t="str">
        <f t="shared" si="0"/>
        <v xml:space="preserve"> ITAI </v>
      </c>
      <c r="E22" t="str">
        <f t="shared" si="1"/>
        <v xml:space="preserve">7.110 </v>
      </c>
      <c r="F22" t="str">
        <f t="shared" si="2"/>
        <v xml:space="preserve">ITAI7.110 </v>
      </c>
      <c r="G22" s="1" t="str">
        <f t="shared" si="3"/>
        <v>TAI Machine Learning and Artificial Intelligence</v>
      </c>
      <c r="H22" t="s">
        <v>77</v>
      </c>
      <c r="I22" t="s">
        <v>46</v>
      </c>
    </row>
    <row r="23" spans="2:9">
      <c r="B23" t="s">
        <v>21</v>
      </c>
      <c r="D23" t="str">
        <f t="shared" si="0"/>
        <v xml:space="preserve"> ITFM </v>
      </c>
      <c r="E23" t="str">
        <f t="shared" si="1"/>
        <v xml:space="preserve">7.120 </v>
      </c>
      <c r="F23" t="str">
        <f t="shared" si="2"/>
        <v xml:space="preserve">ITFM7.120 </v>
      </c>
      <c r="G23" s="1" t="str">
        <f t="shared" si="3"/>
        <v>TFM Mechatronics in IT</v>
      </c>
      <c r="H23" t="s">
        <v>78</v>
      </c>
      <c r="I23" t="s">
        <v>47</v>
      </c>
    </row>
    <row r="24" spans="2:9">
      <c r="B24" t="s">
        <v>22</v>
      </c>
      <c r="D24" t="str">
        <f t="shared" si="0"/>
        <v xml:space="preserve"> ITDA </v>
      </c>
      <c r="E24" t="str">
        <f t="shared" si="1"/>
        <v xml:space="preserve">7.240 </v>
      </c>
      <c r="F24" t="str">
        <f t="shared" si="2"/>
        <v xml:space="preserve">ITDA7.240 </v>
      </c>
      <c r="G24" s="1" t="str">
        <f t="shared" si="3"/>
        <v>TDA Data Analytics</v>
      </c>
      <c r="H24" t="s">
        <v>79</v>
      </c>
      <c r="I24" t="s">
        <v>48</v>
      </c>
    </row>
    <row r="25" spans="2:9">
      <c r="B25" t="s">
        <v>23</v>
      </c>
      <c r="D25" t="str">
        <f t="shared" si="0"/>
        <v xml:space="preserve"> ITWD </v>
      </c>
      <c r="E25" t="str">
        <f t="shared" si="1"/>
        <v xml:space="preserve">7.358 </v>
      </c>
      <c r="F25" t="str">
        <f t="shared" si="2"/>
        <v xml:space="preserve">ITWD7.358 </v>
      </c>
      <c r="G25" s="1" t="str">
        <f t="shared" si="3"/>
        <v>TWD Web Application Programming</v>
      </c>
      <c r="H25" t="s">
        <v>80</v>
      </c>
      <c r="I25" t="s">
        <v>49</v>
      </c>
    </row>
    <row r="26" spans="2:9">
      <c r="B26" t="s">
        <v>24</v>
      </c>
      <c r="D26" t="str">
        <f t="shared" si="0"/>
        <v xml:space="preserve"> ITEC </v>
      </c>
      <c r="E26" t="str">
        <f t="shared" si="1"/>
        <v xml:space="preserve">7.398 </v>
      </c>
      <c r="F26" t="str">
        <f t="shared" si="2"/>
        <v xml:space="preserve">ITEC7.398 </v>
      </c>
      <c r="G26" s="1" t="str">
        <f t="shared" si="3"/>
        <v>TEC E-Business Strategies</v>
      </c>
      <c r="H26" t="s">
        <v>81</v>
      </c>
      <c r="I26" t="s">
        <v>50</v>
      </c>
    </row>
    <row r="27" spans="2:9">
      <c r="B27" t="s">
        <v>25</v>
      </c>
      <c r="D27" t="str">
        <f t="shared" si="0"/>
        <v xml:space="preserve"> ITSY </v>
      </c>
      <c r="E27" t="str">
        <f t="shared" si="1"/>
        <v xml:space="preserve">7.668 </v>
      </c>
      <c r="F27" t="str">
        <f t="shared" si="2"/>
        <v xml:space="preserve">ITSY7.668 </v>
      </c>
      <c r="G27" s="1" t="str">
        <f t="shared" si="3"/>
        <v>TSY Cybersecurity</v>
      </c>
      <c r="H27" t="s">
        <v>82</v>
      </c>
      <c r="I27" t="s">
        <v>51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Courses</vt:lpstr>
      <vt:lpstr>Offerings</vt:lpstr>
      <vt:lpstr>learnerexam</vt:lpstr>
      <vt:lpstr>learners</vt:lpstr>
      <vt:lpstr>course mappings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Jamieson</dc:creator>
  <cp:lastModifiedBy>Yonush</cp:lastModifiedBy>
  <dcterms:created xsi:type="dcterms:W3CDTF">2025-09-10T20:58:45Z</dcterms:created>
  <dcterms:modified xsi:type="dcterms:W3CDTF">2026-02-15T22:37:05Z</dcterms:modified>
</cp:coreProperties>
</file>